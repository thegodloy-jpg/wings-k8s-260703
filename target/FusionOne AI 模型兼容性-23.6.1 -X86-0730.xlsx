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版本\23.6.1-730\"/>
    </mc:Choice>
  </mc:AlternateContent>
  <xr:revisionPtr revIDLastSave="0" documentId="13_ncr:1_{8A15C03D-2B3C-4981-9A5F-527CA7CF960C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sheet1!$A$1:$R$61</definedName>
  </definedNames>
  <calcPr calcId="191029"/>
</workbook>
</file>

<file path=xl/calcChain.xml><?xml version="1.0" encoding="utf-8"?>
<calcChain xmlns="http://schemas.openxmlformats.org/spreadsheetml/2006/main">
  <c r="Q25" i="1" l="1"/>
  <c r="Q26" i="1"/>
  <c r="Q58" i="1" l="1"/>
  <c r="Q35" i="1" l="1"/>
  <c r="Q48" i="1" l="1"/>
  <c r="Q57" i="1" l="1"/>
  <c r="Q56" i="1"/>
  <c r="Q55" i="1"/>
  <c r="Q54" i="1"/>
  <c r="Q53" i="1"/>
  <c r="Q52" i="1"/>
  <c r="Q51" i="1"/>
  <c r="Q50" i="1"/>
  <c r="Q49" i="1"/>
  <c r="Q47" i="1"/>
  <c r="Q46" i="1"/>
  <c r="Q45" i="1"/>
  <c r="Q44" i="1"/>
  <c r="Q43" i="1"/>
  <c r="Q42" i="1"/>
  <c r="Q41" i="1"/>
  <c r="Q40" i="1"/>
  <c r="Q39" i="1"/>
  <c r="Q38" i="1"/>
  <c r="Q37" i="1"/>
  <c r="Q36" i="1"/>
  <c r="Q34" i="1"/>
  <c r="Q33" i="1"/>
  <c r="Q32" i="1"/>
  <c r="Q31" i="1"/>
  <c r="Q30" i="1"/>
  <c r="Q29" i="1"/>
  <c r="Q28" i="1"/>
  <c r="Q27" i="1"/>
  <c r="Q24" i="1"/>
  <c r="Q23" i="1"/>
  <c r="Q22" i="1"/>
  <c r="Q21" i="1"/>
  <c r="H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Day-0 模型需下载并导入对应推理引擎；版本兼容模型已内置推理引擎，无需额外操作。</t>
        </r>
      </text>
    </comment>
    <comment ref="I1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加速特性仅展示已完成实测验证的能力。若显示“-”，表示当前暂无实测验证结果，不代表不支持该加速特性。</t>
        </r>
      </text>
    </comment>
    <comment ref="Q1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该链接为外网参考链接，由第三方平台维护，内容可能会发生变更，仅供参考。</t>
        </r>
      </text>
    </comment>
  </commentList>
</comments>
</file>

<file path=xl/sharedStrings.xml><?xml version="1.0" encoding="utf-8"?>
<sst xmlns="http://schemas.openxmlformats.org/spreadsheetml/2006/main" count="863" uniqueCount="182">
  <si>
    <t>产品版本</t>
  </si>
  <si>
    <t>模型厂家</t>
  </si>
  <si>
    <t>模型名称</t>
  </si>
  <si>
    <t>模型类型</t>
  </si>
  <si>
    <t>参数量(B)</t>
  </si>
  <si>
    <t>模型精度</t>
  </si>
  <si>
    <t>模型权重文件大小（GB）</t>
  </si>
  <si>
    <t>推理引擎</t>
  </si>
  <si>
    <t>加速特性</t>
  </si>
  <si>
    <t>CPU厂商</t>
  </si>
  <si>
    <t>CPU架构</t>
  </si>
  <si>
    <t>机型</t>
  </si>
  <si>
    <t>AI加速卡型号</t>
  </si>
  <si>
    <t>模型参考链接</t>
  </si>
  <si>
    <t>备注</t>
  </si>
  <si>
    <t>BAAI</t>
  </si>
  <si>
    <t>BAAI/bge-large-zh-v1.5</t>
  </si>
  <si>
    <t>Embedding模型</t>
  </si>
  <si>
    <t>-</t>
  </si>
  <si>
    <t>FP32</t>
  </si>
  <si>
    <t>1.3</t>
  </si>
  <si>
    <t>无</t>
  </si>
  <si>
    <t>Intel</t>
  </si>
  <si>
    <t>x86_64</t>
  </si>
  <si>
    <t>G5500 V7</t>
  </si>
  <si>
    <t>NL02(48GB)</t>
  </si>
  <si>
    <t>BAAI/bge-m3</t>
  </si>
  <si>
    <t>4.59</t>
  </si>
  <si>
    <t>BAAI/bge-reranker-large</t>
  </si>
  <si>
    <t>Reranker模型</t>
  </si>
  <si>
    <t>6.74</t>
  </si>
  <si>
    <t>BAAI/bge-reranker-v2-m3</t>
  </si>
  <si>
    <t>2.29</t>
  </si>
  <si>
    <t>DeepSeek</t>
  </si>
  <si>
    <t>文本生成</t>
  </si>
  <si>
    <t>235.74</t>
  </si>
  <si>
    <t>BF16</t>
  </si>
  <si>
    <t>471.49</t>
  </si>
  <si>
    <t>G8600 V7</t>
  </si>
  <si>
    <t>NH02(141GB)</t>
  </si>
  <si>
    <t>684.53</t>
  </si>
  <si>
    <t>FP8</t>
  </si>
  <si>
    <t>688.6</t>
  </si>
  <si>
    <t>141.12</t>
  </si>
  <si>
    <t>deepseek-ai/DeepSeek-R1-Distill-Llama-8B</t>
  </si>
  <si>
    <t>16.07</t>
  </si>
  <si>
    <t>deepseek-ai/DeepSeek-R1-Distill-Qwen-1.5B</t>
  </si>
  <si>
    <t>3.56</t>
  </si>
  <si>
    <t>deepseek-ai/DeepSeek-R1-Distill-Qwen-14B</t>
  </si>
  <si>
    <t>29.55</t>
  </si>
  <si>
    <t>32</t>
  </si>
  <si>
    <t>65.54</t>
  </si>
  <si>
    <t>15.24</t>
  </si>
  <si>
    <t>deepseek-ai/DeepSeek-V3.1</t>
  </si>
  <si>
    <t>deepseek-ai/DeepSeek-V3.2</t>
  </si>
  <si>
    <t>685.4</t>
  </si>
  <si>
    <t>689.51</t>
  </si>
  <si>
    <t>689.5</t>
  </si>
  <si>
    <t>284</t>
  </si>
  <si>
    <t>159.63</t>
  </si>
  <si>
    <t>684.84</t>
  </si>
  <si>
    <t>INT8</t>
  </si>
  <si>
    <t>603</t>
  </si>
  <si>
    <t>P800(96GB)</t>
  </si>
  <si>
    <t>Qwen</t>
  </si>
  <si>
    <t>视觉多模态理解</t>
  </si>
  <si>
    <t>27</t>
  </si>
  <si>
    <t>36.45</t>
  </si>
  <si>
    <t>KunLun G5500 V2</t>
  </si>
  <si>
    <t>Ascend 910B4(64GB)</t>
  </si>
  <si>
    <t>Eco-Tech/Qwen3.6-35B-A3B-w8a8</t>
  </si>
  <si>
    <t>35</t>
  </si>
  <si>
    <t>39.81</t>
  </si>
  <si>
    <t>Meta</t>
  </si>
  <si>
    <t>MiniMax</t>
  </si>
  <si>
    <t>228.7</t>
  </si>
  <si>
    <t>AMD</t>
  </si>
  <si>
    <t>G6550 V8</t>
  </si>
  <si>
    <t>NRP0500(72GB)</t>
  </si>
  <si>
    <t>440.28</t>
  </si>
  <si>
    <t>443.78</t>
  </si>
  <si>
    <t>nv-community/MiniMax-M2.5-NVFP4</t>
  </si>
  <si>
    <t>139.92</t>
  </si>
  <si>
    <t>Qwen/Qwen2.5-32B-Instruct</t>
  </si>
  <si>
    <t>Qwen/Qwen2.5-VL-72B-Instruct</t>
  </si>
  <si>
    <t>146.83</t>
  </si>
  <si>
    <t>Qwen/Qwen2.5-VL-7B-Instruct</t>
  </si>
  <si>
    <t>16.6</t>
  </si>
  <si>
    <t>Qwen/Qwen3.5-122B-A10B</t>
  </si>
  <si>
    <t>250.2</t>
  </si>
  <si>
    <t>Qwen/Qwen3.5-27B</t>
  </si>
  <si>
    <t>55.59</t>
  </si>
  <si>
    <t>Qwen/Qwen3.5-35B-A3B</t>
  </si>
  <si>
    <t>71.93</t>
  </si>
  <si>
    <t>Qwen/Qwen3.6-35B-A3B</t>
  </si>
  <si>
    <t>Qwen/Qwen3-14B</t>
  </si>
  <si>
    <t>Qwen/Qwen3-235B-A22B</t>
  </si>
  <si>
    <t>470.21</t>
  </si>
  <si>
    <t>Qwen/Qwen3-30B-A3B</t>
  </si>
  <si>
    <t>61.08</t>
  </si>
  <si>
    <t>Qwen/Qwen3-32B</t>
  </si>
  <si>
    <t>Qwen/Qwen3-8B</t>
  </si>
  <si>
    <t>16.4</t>
  </si>
  <si>
    <t>Qwen/Qwen3-AgentWorld-35B-A3B</t>
  </si>
  <si>
    <t>69.34</t>
  </si>
  <si>
    <t>Qwen/Qwen3-Embedding-0.6B</t>
  </si>
  <si>
    <t>1.21</t>
  </si>
  <si>
    <t>Qwen/Qwen3-Next-80B-A3B-Instruct</t>
  </si>
  <si>
    <t>162.68</t>
  </si>
  <si>
    <t>Qwen/Qwen3-VL-30B-A3B-Instruct</t>
  </si>
  <si>
    <t>62.15</t>
  </si>
  <si>
    <t>Qwen/Qwen3-VL-32B-Instruct</t>
  </si>
  <si>
    <t>66.73</t>
  </si>
  <si>
    <t>Qwen/Qwen3-VL-8B-Instruct</t>
  </si>
  <si>
    <t>17.55</t>
  </si>
  <si>
    <t>Qwen/QwQ-32B</t>
  </si>
  <si>
    <t>ZhipuAI</t>
  </si>
  <si>
    <t>ZhipuAI/GLM-4.7-FP8</t>
  </si>
  <si>
    <t>362.09</t>
  </si>
  <si>
    <t>ZhipuAI/GLM-4-9B-0414</t>
  </si>
  <si>
    <t>18.82</t>
  </si>
  <si>
    <t>ZhipuAI/GLM-5.1-FP8</t>
  </si>
  <si>
    <t>756.21</t>
  </si>
  <si>
    <t>卡数</t>
    <phoneticPr fontId="4" type="noConversion"/>
  </si>
  <si>
    <t>组网方式</t>
    <phoneticPr fontId="4" type="noConversion"/>
  </si>
  <si>
    <t>机器数量</t>
    <phoneticPr fontId="4" type="noConversion"/>
  </si>
  <si>
    <t>G5500 V7</t>
    <phoneticPr fontId="4" type="noConversion"/>
  </si>
  <si>
    <t>单机</t>
    <phoneticPr fontId="4" type="noConversion"/>
  </si>
  <si>
    <t>deepseek-ai/DeepSeek-Coder-V2-Instruct</t>
    <phoneticPr fontId="4" type="noConversion"/>
  </si>
  <si>
    <t>deepseek-ai/DeepSeek-R1</t>
    <phoneticPr fontId="4" type="noConversion"/>
  </si>
  <si>
    <t>deepseek-ai/DeepSeek-R1-0528</t>
    <phoneticPr fontId="4" type="noConversion"/>
  </si>
  <si>
    <t>deepseek-ai/DeepSeek-R1-Distill-Llama-70B</t>
    <phoneticPr fontId="4" type="noConversion"/>
  </si>
  <si>
    <t>deepseek-ai/DeepSeek-R1-Distill-Qwen-32B</t>
    <phoneticPr fontId="4" type="noConversion"/>
  </si>
  <si>
    <t>deepseek-ai/DeepSeek-R1-Distill-Qwen-7B</t>
    <phoneticPr fontId="4" type="noConversion"/>
  </si>
  <si>
    <t>deepseek-ai/DeepSeek-V3</t>
    <phoneticPr fontId="4" type="noConversion"/>
  </si>
  <si>
    <t>deepseek-ai/DeepSeek-V3.2-Exp</t>
    <phoneticPr fontId="4" type="noConversion"/>
  </si>
  <si>
    <t>deepseek-ai/DeepSeek-V3-0324</t>
    <phoneticPr fontId="4" type="noConversion"/>
  </si>
  <si>
    <t>deepseek-ai/DeepSeek-V4-Flash</t>
    <phoneticPr fontId="4" type="noConversion"/>
  </si>
  <si>
    <t>ZhipuAI/GLM-5-FP8</t>
    <phoneticPr fontId="4" type="noConversion"/>
  </si>
  <si>
    <t>Eco-Tech/Qwen3.6-27B-w8a8</t>
    <phoneticPr fontId="4" type="noConversion"/>
  </si>
  <si>
    <t>Qwen/Qwen3.6-27B</t>
    <phoneticPr fontId="4" type="noConversion"/>
  </si>
  <si>
    <t>DeepSeek-r1-mla</t>
    <phoneticPr fontId="4" type="noConversion"/>
  </si>
  <si>
    <t>LLM-Research/Meta-Llama-3-8B</t>
    <phoneticPr fontId="4" type="noConversion"/>
  </si>
  <si>
    <t>595.78M</t>
    <phoneticPr fontId="4" type="noConversion"/>
  </si>
  <si>
    <t>INT8</t>
    <phoneticPr fontId="4" type="noConversion"/>
  </si>
  <si>
    <t>FP4</t>
    <phoneticPr fontId="4" type="noConversion"/>
  </si>
  <si>
    <t>FP8</t>
    <phoneticPr fontId="4" type="noConversion"/>
  </si>
  <si>
    <t>数据类型+权重更新</t>
    <phoneticPr fontId="4" type="noConversion"/>
  </si>
  <si>
    <t>Qwen/Qwen3-VL-235B-A22B-Instruct-FP8</t>
    <phoneticPr fontId="4" type="noConversion"/>
  </si>
  <si>
    <t>a+X形态，是否删除</t>
    <phoneticPr fontId="4" type="noConversion"/>
  </si>
  <si>
    <t>23.6.1</t>
  </si>
  <si>
    <t>23.6.1</t>
    <phoneticPr fontId="4" type="noConversion"/>
  </si>
  <si>
    <t>wings-vllm:v0.23.0-cu130-20260710093354</t>
  </si>
  <si>
    <t>wings-vllm-ascend:v0.21.0rc1-20260709162053</t>
  </si>
  <si>
    <t>wings-vllm:minimaxm3-rtx-pro5000</t>
  </si>
  <si>
    <t>DeepSeek</t>
    <phoneticPr fontId="4" type="noConversion"/>
  </si>
  <si>
    <t>新增支持</t>
    <phoneticPr fontId="4" type="noConversion"/>
  </si>
  <si>
    <t>nv-community/Qwen3.5-397B-A17B-NVFP4</t>
    <phoneticPr fontId="4" type="noConversion"/>
  </si>
  <si>
    <t>nv-community/DeepSeek-V4-Flash-NVFP4</t>
    <phoneticPr fontId="4" type="noConversion"/>
  </si>
  <si>
    <t>文本生成</t>
    <phoneticPr fontId="4" type="noConversion"/>
  </si>
  <si>
    <t>Wings-vllm:v0.22.0-deepseekv4flash-rtx-pro5000</t>
    <phoneticPr fontId="4" type="noConversion"/>
  </si>
  <si>
    <t>deepseek-ai/DeepSeek-V4-Pro</t>
    <phoneticPr fontId="4" type="noConversion"/>
  </si>
  <si>
    <t>FP4</t>
    <phoneticPr fontId="4" type="noConversion"/>
  </si>
  <si>
    <t>无</t>
    <phoneticPr fontId="4" type="noConversion"/>
  </si>
  <si>
    <t>https://modelscope.cn/models/deepseek-ai/DeepSeek-V4-Pro</t>
    <phoneticPr fontId="4" type="noConversion"/>
  </si>
  <si>
    <t>BF16</t>
    <phoneticPr fontId="4" type="noConversion"/>
  </si>
  <si>
    <t>moonshotai/Kimi-K2.6</t>
    <phoneticPr fontId="4" type="noConversion"/>
  </si>
  <si>
    <t>Kimi</t>
    <phoneticPr fontId="4" type="noConversion"/>
  </si>
  <si>
    <t>https://modelscope.cn/models/moonshotai/Kimi-K2.6</t>
    <phoneticPr fontId="4" type="noConversion"/>
  </si>
  <si>
    <t>a+X形态，是否删除
第三梯队</t>
    <phoneticPr fontId="4" type="noConversion"/>
  </si>
  <si>
    <t>wings-vllm-ascend:v0.21.0rc1-20260709162053</t>
    <phoneticPr fontId="4" type="noConversion"/>
  </si>
  <si>
    <t>第三梯队？</t>
    <phoneticPr fontId="4" type="noConversion"/>
  </si>
  <si>
    <t>SmartDecoding+SmartKVcache</t>
    <phoneticPr fontId="4" type="noConversion"/>
  </si>
  <si>
    <t>SmartDecoding + SmartSparse + SmartKVcache</t>
    <phoneticPr fontId="4" type="noConversion"/>
  </si>
  <si>
    <t>SmartSparse + SmartKVcache</t>
    <phoneticPr fontId="4" type="noConversion"/>
  </si>
  <si>
    <t>FP4</t>
    <phoneticPr fontId="4" type="noConversion"/>
  </si>
  <si>
    <t>SmartDecoding + SmartKVcache</t>
    <phoneticPr fontId="4" type="noConversion"/>
  </si>
  <si>
    <t>MiniMax/MiniMax-M3-MXFP8</t>
    <phoneticPr fontId="4" type="noConversion"/>
  </si>
  <si>
    <t>SmartKVcache</t>
    <phoneticPr fontId="4" type="noConversion"/>
  </si>
  <si>
    <t>修改成NVFP4,删除FP8</t>
    <phoneticPr fontId="4" type="noConversion"/>
  </si>
  <si>
    <t>nv-community/MiniMax-M2.7-NVFP4</t>
    <phoneticPr fontId="4" type="noConversion"/>
  </si>
  <si>
    <t>nv-community/MiniMax-M2.5-NVFP4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</si>
</sst>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等线"/>
      <family val="2"/>
      <scheme val="minor"/>
    </font>
    <font>
      <b/>
      <sz val="14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0"/>
      <color indexed="48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0"/>
      <name val="微软雅黑"/>
      <family val="2"/>
      <charset val="134"/>
    </font>
    <font>
      <u/>
      <sz val="11"/>
      <color theme="1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lightGrid">
        <fgColor indexed="55"/>
        <bgColor indexed="55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>
      <alignment vertical="center"/>
    </xf>
    <xf numFmtId="0" fontId="8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9" fillId="0" borderId="2" xfId="1" applyBorder="1" applyAlignment="1">
      <alignment horizontal="center"/>
    </xf>
    <xf numFmtId="0" fontId="9" fillId="0" borderId="3" xfId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odelscope.cn/models/moonshotai/Kimi-K2.6" TargetMode="External"/><Relationship Id="rId1" Type="http://schemas.openxmlformats.org/officeDocument/2006/relationships/hyperlink" Target="https://modelscope.cn/models/deepseek-ai/DeepSeek-V4-Pro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topLeftCell="H1" zoomScale="85" zoomScaleNormal="85" workbookViewId="0">
      <selection activeCell="T14" sqref="T14"/>
    </sheetView>
  </sheetViews>
  <sheetFormatPr defaultRowHeight="14.25" x14ac:dyDescent="0.2"/>
  <cols>
    <col min="1" max="2" width="14.375" bestFit="1" customWidth="1"/>
    <col min="3" max="3" width="36" customWidth="1"/>
    <col min="4" max="4" width="14.375" bestFit="1" customWidth="1"/>
    <col min="5" max="5" width="16.75" bestFit="1" customWidth="1"/>
    <col min="6" max="6" width="14.375" bestFit="1" customWidth="1"/>
    <col min="7" max="7" width="32.875" customWidth="1"/>
    <col min="8" max="8" width="35.875" customWidth="1"/>
    <col min="9" max="9" width="19.125" customWidth="1"/>
    <col min="10" max="10" width="5.875" customWidth="1"/>
    <col min="11" max="11" width="7.125" customWidth="1"/>
    <col min="12" max="12" width="15.5" customWidth="1"/>
    <col min="13" max="13" width="10.25" customWidth="1"/>
    <col min="14" max="14" width="17.5" customWidth="1"/>
    <col min="15" max="15" width="19.875" customWidth="1"/>
    <col min="16" max="16" width="11.875" customWidth="1"/>
    <col min="17" max="17" width="66.5" customWidth="1"/>
    <col min="18" max="18" width="18.75" customWidth="1"/>
  </cols>
  <sheetData>
    <row r="1" spans="1:18" ht="21.7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</v>
      </c>
      <c r="N1" s="1" t="s">
        <v>124</v>
      </c>
      <c r="O1" s="1" t="s">
        <v>12</v>
      </c>
      <c r="P1" s="1" t="s">
        <v>123</v>
      </c>
      <c r="Q1" s="1" t="s">
        <v>13</v>
      </c>
      <c r="R1" s="1" t="s">
        <v>14</v>
      </c>
    </row>
    <row r="2" spans="1:18" ht="16.5" x14ac:dyDescent="0.35">
      <c r="A2" s="2" t="s">
        <v>151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152</v>
      </c>
      <c r="I2" s="2" t="s">
        <v>21</v>
      </c>
      <c r="J2" s="2" t="s">
        <v>22</v>
      </c>
      <c r="K2" s="2" t="s">
        <v>23</v>
      </c>
      <c r="L2" s="2" t="s">
        <v>126</v>
      </c>
      <c r="M2" s="2">
        <v>1</v>
      </c>
      <c r="N2" s="2" t="s">
        <v>127</v>
      </c>
      <c r="O2" s="2" t="s">
        <v>25</v>
      </c>
      <c r="P2" s="2">
        <v>1</v>
      </c>
      <c r="Q2" s="3" t="str">
        <f>HYPERLINK("https://modelscope.cn/models/BAAI/bge-large-zh-v1.5","https://modelscope.cn/models/BAAI/bge-large-zh-v1.5")</f>
        <v>https://modelscope.cn/models/BAAI/bge-large-zh-v1.5</v>
      </c>
      <c r="R2" s="2" t="s">
        <v>18</v>
      </c>
    </row>
    <row r="3" spans="1:18" ht="16.5" x14ac:dyDescent="0.35">
      <c r="A3" s="2" t="s">
        <v>151</v>
      </c>
      <c r="B3" s="2" t="s">
        <v>15</v>
      </c>
      <c r="C3" s="2" t="s">
        <v>26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152</v>
      </c>
      <c r="I3" s="2" t="s">
        <v>21</v>
      </c>
      <c r="J3" s="2" t="s">
        <v>22</v>
      </c>
      <c r="K3" s="2" t="s">
        <v>23</v>
      </c>
      <c r="L3" s="2" t="s">
        <v>24</v>
      </c>
      <c r="M3" s="2">
        <v>1</v>
      </c>
      <c r="N3" s="2" t="s">
        <v>127</v>
      </c>
      <c r="O3" s="2" t="s">
        <v>25</v>
      </c>
      <c r="P3" s="2">
        <v>1</v>
      </c>
      <c r="Q3" s="3" t="str">
        <f>HYPERLINK("https://modelscope.cn/models/BAAI/bge-m3","https://modelscope.cn/models/BAAI/bge-m3")</f>
        <v>https://modelscope.cn/models/BAAI/bge-m3</v>
      </c>
      <c r="R3" s="2" t="s">
        <v>171</v>
      </c>
    </row>
    <row r="4" spans="1:18" ht="16.5" x14ac:dyDescent="0.35">
      <c r="A4" s="2" t="s">
        <v>150</v>
      </c>
      <c r="B4" s="2" t="s">
        <v>15</v>
      </c>
      <c r="C4" s="2" t="s">
        <v>28</v>
      </c>
      <c r="D4" s="2" t="s">
        <v>29</v>
      </c>
      <c r="E4" s="2" t="s">
        <v>18</v>
      </c>
      <c r="F4" s="2" t="s">
        <v>19</v>
      </c>
      <c r="G4" s="2" t="s">
        <v>30</v>
      </c>
      <c r="H4" s="2" t="s">
        <v>152</v>
      </c>
      <c r="I4" s="2" t="s">
        <v>21</v>
      </c>
      <c r="J4" s="2" t="s">
        <v>22</v>
      </c>
      <c r="K4" s="2" t="s">
        <v>23</v>
      </c>
      <c r="L4" s="2" t="s">
        <v>24</v>
      </c>
      <c r="M4" s="2">
        <v>1</v>
      </c>
      <c r="N4" s="2" t="s">
        <v>127</v>
      </c>
      <c r="O4" s="2" t="s">
        <v>25</v>
      </c>
      <c r="P4" s="2">
        <v>1</v>
      </c>
      <c r="Q4" s="3" t="str">
        <f>HYPERLINK("https://modelscope.cn/models/BAAI/bge-reranker-large","https://modelscope.cn/models/BAAI/bge-reranker-large")</f>
        <v>https://modelscope.cn/models/BAAI/bge-reranker-large</v>
      </c>
      <c r="R4" s="2" t="s">
        <v>18</v>
      </c>
    </row>
    <row r="5" spans="1:18" ht="16.5" x14ac:dyDescent="0.35">
      <c r="A5" s="2" t="s">
        <v>150</v>
      </c>
      <c r="B5" s="2" t="s">
        <v>15</v>
      </c>
      <c r="C5" s="2" t="s">
        <v>31</v>
      </c>
      <c r="D5" s="2" t="s">
        <v>29</v>
      </c>
      <c r="E5" s="2" t="s">
        <v>18</v>
      </c>
      <c r="F5" s="2" t="s">
        <v>19</v>
      </c>
      <c r="G5" s="2" t="s">
        <v>32</v>
      </c>
      <c r="H5" s="2" t="s">
        <v>152</v>
      </c>
      <c r="I5" s="2" t="s">
        <v>21</v>
      </c>
      <c r="J5" s="2" t="s">
        <v>22</v>
      </c>
      <c r="K5" s="2" t="s">
        <v>23</v>
      </c>
      <c r="L5" s="2" t="s">
        <v>24</v>
      </c>
      <c r="M5" s="2">
        <v>1</v>
      </c>
      <c r="N5" s="2" t="s">
        <v>127</v>
      </c>
      <c r="O5" s="2" t="s">
        <v>25</v>
      </c>
      <c r="P5" s="2">
        <v>1</v>
      </c>
      <c r="Q5" s="3" t="str">
        <f>HYPERLINK("https://modelscope.cn/models/BAAI/bge-reranker-v2-m3","https://modelscope.cn/models/BAAI/bge-reranker-v2-m3")</f>
        <v>https://modelscope.cn/models/BAAI/bge-reranker-v2-m3</v>
      </c>
      <c r="R5" s="2" t="s">
        <v>171</v>
      </c>
    </row>
    <row r="6" spans="1:18" ht="16.5" x14ac:dyDescent="0.35">
      <c r="A6" s="2" t="s">
        <v>150</v>
      </c>
      <c r="B6" s="2" t="s">
        <v>33</v>
      </c>
      <c r="C6" s="2" t="s">
        <v>128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152</v>
      </c>
      <c r="I6" s="2" t="s">
        <v>21</v>
      </c>
      <c r="J6" s="2" t="s">
        <v>22</v>
      </c>
      <c r="K6" s="2" t="s">
        <v>23</v>
      </c>
      <c r="L6" s="2" t="s">
        <v>38</v>
      </c>
      <c r="M6" s="2">
        <v>1</v>
      </c>
      <c r="N6" s="2" t="s">
        <v>127</v>
      </c>
      <c r="O6" s="2" t="s">
        <v>39</v>
      </c>
      <c r="P6" s="2">
        <v>4</v>
      </c>
      <c r="Q6" s="3" t="str">
        <f>HYPERLINK("https://modelscope.cn/models/deepseek-ai/DeepSeek-Coder-V2-Instruct","https://modelscope.cn/models/deepseek-ai/DeepSeek-Coder-V2-Instruct")</f>
        <v>https://modelscope.cn/models/deepseek-ai/DeepSeek-Coder-V2-Instruct</v>
      </c>
      <c r="R6" s="2" t="s">
        <v>18</v>
      </c>
    </row>
    <row r="7" spans="1:18" ht="16.5" x14ac:dyDescent="0.35">
      <c r="A7" s="2" t="s">
        <v>150</v>
      </c>
      <c r="B7" s="2" t="s">
        <v>33</v>
      </c>
      <c r="C7" s="2" t="s">
        <v>129</v>
      </c>
      <c r="D7" s="2" t="s">
        <v>34</v>
      </c>
      <c r="E7" s="2" t="s">
        <v>40</v>
      </c>
      <c r="F7" s="2" t="s">
        <v>41</v>
      </c>
      <c r="G7" s="2" t="s">
        <v>42</v>
      </c>
      <c r="H7" s="2" t="s">
        <v>152</v>
      </c>
      <c r="I7" s="2" t="s">
        <v>21</v>
      </c>
      <c r="J7" s="2" t="s">
        <v>22</v>
      </c>
      <c r="K7" s="2" t="s">
        <v>23</v>
      </c>
      <c r="L7" s="2" t="s">
        <v>38</v>
      </c>
      <c r="M7" s="2">
        <v>1</v>
      </c>
      <c r="N7" s="2" t="s">
        <v>127</v>
      </c>
      <c r="O7" s="2" t="s">
        <v>39</v>
      </c>
      <c r="P7" s="2">
        <v>8</v>
      </c>
      <c r="Q7" s="3" t="str">
        <f>HYPERLINK("https://modelscope.cn/models/deepseek-ai/DeepSeek-R1","https://modelscope.cn/models/deepseek-ai/DeepSeek-R1")</f>
        <v>https://modelscope.cn/models/deepseek-ai/DeepSeek-R1</v>
      </c>
      <c r="R7" s="2" t="s">
        <v>18</v>
      </c>
    </row>
    <row r="8" spans="1:18" ht="16.5" x14ac:dyDescent="0.35">
      <c r="A8" s="2" t="s">
        <v>150</v>
      </c>
      <c r="B8" s="2" t="s">
        <v>33</v>
      </c>
      <c r="C8" s="2" t="s">
        <v>130</v>
      </c>
      <c r="D8" s="2" t="s">
        <v>34</v>
      </c>
      <c r="E8" s="2" t="s">
        <v>40</v>
      </c>
      <c r="F8" s="2" t="s">
        <v>41</v>
      </c>
      <c r="G8" s="2" t="s">
        <v>42</v>
      </c>
      <c r="H8" s="2" t="s">
        <v>152</v>
      </c>
      <c r="I8" s="2" t="s">
        <v>21</v>
      </c>
      <c r="J8" s="2" t="s">
        <v>22</v>
      </c>
      <c r="K8" s="2" t="s">
        <v>23</v>
      </c>
      <c r="L8" s="2" t="s">
        <v>38</v>
      </c>
      <c r="M8" s="2">
        <v>1</v>
      </c>
      <c r="N8" s="2" t="s">
        <v>127</v>
      </c>
      <c r="O8" s="2" t="s">
        <v>39</v>
      </c>
      <c r="P8" s="2">
        <v>8</v>
      </c>
      <c r="Q8" s="3" t="str">
        <f>HYPERLINK("https://modelscope.cn/models/deepseek-ai/DeepSeek-R1-0528","https://modelscope.cn/models/deepseek-ai/DeepSeek-R1-0528")</f>
        <v>https://modelscope.cn/models/deepseek-ai/DeepSeek-R1-0528</v>
      </c>
      <c r="R8" s="2" t="s">
        <v>18</v>
      </c>
    </row>
    <row r="9" spans="1:18" ht="16.5" x14ac:dyDescent="0.35">
      <c r="A9" s="2" t="s">
        <v>150</v>
      </c>
      <c r="B9" s="2" t="s">
        <v>33</v>
      </c>
      <c r="C9" s="2" t="s">
        <v>131</v>
      </c>
      <c r="D9" s="2" t="s">
        <v>34</v>
      </c>
      <c r="E9" s="2">
        <v>70.55</v>
      </c>
      <c r="F9" s="2" t="s">
        <v>36</v>
      </c>
      <c r="G9" s="2" t="s">
        <v>43</v>
      </c>
      <c r="H9" s="2" t="s">
        <v>152</v>
      </c>
      <c r="I9" s="2" t="s">
        <v>21</v>
      </c>
      <c r="J9" s="2" t="s">
        <v>22</v>
      </c>
      <c r="K9" s="2" t="s">
        <v>23</v>
      </c>
      <c r="L9" s="2" t="s">
        <v>24</v>
      </c>
      <c r="M9" s="2">
        <v>1</v>
      </c>
      <c r="N9" s="2" t="s">
        <v>127</v>
      </c>
      <c r="O9" s="2" t="s">
        <v>25</v>
      </c>
      <c r="P9" s="2">
        <v>4</v>
      </c>
      <c r="Q9" s="3" t="str">
        <f>HYPERLINK("https://modelscope.cn/models/deepseek-ai/DeepSeek-R1-Distill-Llama-70B","https://modelscope.cn/models/deepseek-ai/DeepSeek-R1-Distill-Llama-70B")</f>
        <v>https://modelscope.cn/models/deepseek-ai/DeepSeek-R1-Distill-Llama-70B</v>
      </c>
      <c r="R9" s="2" t="s">
        <v>18</v>
      </c>
    </row>
    <row r="10" spans="1:18" ht="16.5" x14ac:dyDescent="0.35">
      <c r="A10" s="2" t="s">
        <v>150</v>
      </c>
      <c r="B10" s="2" t="s">
        <v>33</v>
      </c>
      <c r="C10" s="2" t="s">
        <v>44</v>
      </c>
      <c r="D10" s="2" t="s">
        <v>34</v>
      </c>
      <c r="E10" s="2">
        <v>8.0299999999999994</v>
      </c>
      <c r="F10" s="2" t="s">
        <v>36</v>
      </c>
      <c r="G10" s="2" t="s">
        <v>45</v>
      </c>
      <c r="H10" s="2" t="s">
        <v>152</v>
      </c>
      <c r="I10" s="2" t="s">
        <v>21</v>
      </c>
      <c r="J10" s="2" t="s">
        <v>22</v>
      </c>
      <c r="K10" s="2" t="s">
        <v>23</v>
      </c>
      <c r="L10" s="2" t="s">
        <v>24</v>
      </c>
      <c r="M10" s="2">
        <v>1</v>
      </c>
      <c r="N10" s="2" t="s">
        <v>127</v>
      </c>
      <c r="O10" s="2" t="s">
        <v>25</v>
      </c>
      <c r="P10" s="2">
        <v>1</v>
      </c>
      <c r="Q10" s="3" t="str">
        <f>HYPERLINK("https://modelscope.cn/models/deepseek-ai/DeepSeek-R1-Distill-Llama-8B","https://modelscope.cn/models/deepseek-ai/DeepSeek-R1-Distill-Llama-8B")</f>
        <v>https://modelscope.cn/models/deepseek-ai/DeepSeek-R1-Distill-Llama-8B</v>
      </c>
      <c r="R10" s="2" t="s">
        <v>18</v>
      </c>
    </row>
    <row r="11" spans="1:18" ht="16.5" x14ac:dyDescent="0.35">
      <c r="A11" s="2" t="s">
        <v>150</v>
      </c>
      <c r="B11" s="2" t="s">
        <v>33</v>
      </c>
      <c r="C11" s="2" t="s">
        <v>46</v>
      </c>
      <c r="D11" s="2" t="s">
        <v>34</v>
      </c>
      <c r="E11" s="2">
        <v>1.78</v>
      </c>
      <c r="F11" s="2" t="s">
        <v>36</v>
      </c>
      <c r="G11" s="2" t="s">
        <v>47</v>
      </c>
      <c r="H11" s="2" t="s">
        <v>152</v>
      </c>
      <c r="I11" s="2" t="s">
        <v>21</v>
      </c>
      <c r="J11" s="2" t="s">
        <v>22</v>
      </c>
      <c r="K11" s="2" t="s">
        <v>23</v>
      </c>
      <c r="L11" s="2" t="s">
        <v>24</v>
      </c>
      <c r="M11" s="2">
        <v>1</v>
      </c>
      <c r="N11" s="2" t="s">
        <v>127</v>
      </c>
      <c r="O11" s="2" t="s">
        <v>25</v>
      </c>
      <c r="P11" s="2">
        <v>1</v>
      </c>
      <c r="Q11" s="3" t="str">
        <f>HYPERLINK("https://modelscope.cn/models/deepseek-ai/DeepSeek-R1-Distill-Qwen-1.5B","https://modelscope.cn/models/deepseek-ai/DeepSeek-R1-Distill-Qwen-1.5B")</f>
        <v>https://modelscope.cn/models/deepseek-ai/DeepSeek-R1-Distill-Qwen-1.5B</v>
      </c>
      <c r="R11" s="2" t="s">
        <v>18</v>
      </c>
    </row>
    <row r="12" spans="1:18" ht="16.5" x14ac:dyDescent="0.35">
      <c r="A12" s="2" t="s">
        <v>150</v>
      </c>
      <c r="B12" s="2" t="s">
        <v>33</v>
      </c>
      <c r="C12" s="2" t="s">
        <v>48</v>
      </c>
      <c r="D12" s="2" t="s">
        <v>34</v>
      </c>
      <c r="E12" s="2">
        <v>14.77</v>
      </c>
      <c r="F12" s="2" t="s">
        <v>36</v>
      </c>
      <c r="G12" s="2" t="s">
        <v>49</v>
      </c>
      <c r="H12" s="2" t="s">
        <v>152</v>
      </c>
      <c r="I12" s="2" t="s">
        <v>21</v>
      </c>
      <c r="J12" s="2" t="s">
        <v>22</v>
      </c>
      <c r="K12" s="2" t="s">
        <v>23</v>
      </c>
      <c r="L12" s="2" t="s">
        <v>24</v>
      </c>
      <c r="M12" s="2">
        <v>1</v>
      </c>
      <c r="N12" s="2" t="s">
        <v>127</v>
      </c>
      <c r="O12" s="2" t="s">
        <v>25</v>
      </c>
      <c r="P12" s="2">
        <v>1</v>
      </c>
      <c r="Q12" s="3" t="str">
        <f>HYPERLINK("https://modelscope.cn/models/deepseek-ai/DeepSeek-R1-Distill-Qwen-14B","https://modelscope.cn/models/deepseek-ai/DeepSeek-R1-Distill-Qwen-14B")</f>
        <v>https://modelscope.cn/models/deepseek-ai/DeepSeek-R1-Distill-Qwen-14B</v>
      </c>
      <c r="R12" s="2" t="s">
        <v>18</v>
      </c>
    </row>
    <row r="13" spans="1:18" ht="16.5" x14ac:dyDescent="0.35">
      <c r="A13" s="2" t="s">
        <v>150</v>
      </c>
      <c r="B13" s="2" t="s">
        <v>33</v>
      </c>
      <c r="C13" s="2" t="s">
        <v>132</v>
      </c>
      <c r="D13" s="2" t="s">
        <v>34</v>
      </c>
      <c r="E13" s="2">
        <v>32.76</v>
      </c>
      <c r="F13" s="2" t="s">
        <v>36</v>
      </c>
      <c r="G13" s="2" t="s">
        <v>51</v>
      </c>
      <c r="H13" s="2" t="s">
        <v>152</v>
      </c>
      <c r="I13" s="2" t="s">
        <v>21</v>
      </c>
      <c r="J13" s="2" t="s">
        <v>22</v>
      </c>
      <c r="K13" s="2" t="s">
        <v>23</v>
      </c>
      <c r="L13" s="2" t="s">
        <v>24</v>
      </c>
      <c r="M13" s="2">
        <v>1</v>
      </c>
      <c r="N13" s="2" t="s">
        <v>127</v>
      </c>
      <c r="O13" s="2" t="s">
        <v>25</v>
      </c>
      <c r="P13" s="2">
        <v>2</v>
      </c>
      <c r="Q13" s="3" t="str">
        <f>HYPERLINK("https://modelscope.cn/models/deepseek-ai/DeepSeek-R1-Distill-Qwen-32B","https://modelscope.cn/models/deepseek-ai/DeepSeek-R1-Distill-Qwen-32B")</f>
        <v>https://modelscope.cn/models/deepseek-ai/DeepSeek-R1-Distill-Qwen-32B</v>
      </c>
      <c r="R13" s="2" t="s">
        <v>18</v>
      </c>
    </row>
    <row r="14" spans="1:18" ht="16.5" x14ac:dyDescent="0.35">
      <c r="A14" s="2" t="s">
        <v>150</v>
      </c>
      <c r="B14" s="2" t="s">
        <v>33</v>
      </c>
      <c r="C14" s="2" t="s">
        <v>133</v>
      </c>
      <c r="D14" s="2" t="s">
        <v>34</v>
      </c>
      <c r="E14" s="2">
        <v>7.62</v>
      </c>
      <c r="F14" s="2" t="s">
        <v>36</v>
      </c>
      <c r="G14" s="2" t="s">
        <v>52</v>
      </c>
      <c r="H14" s="2" t="s">
        <v>152</v>
      </c>
      <c r="I14" s="2" t="s">
        <v>21</v>
      </c>
      <c r="J14" s="2" t="s">
        <v>22</v>
      </c>
      <c r="K14" s="2" t="s">
        <v>23</v>
      </c>
      <c r="L14" s="2" t="s">
        <v>24</v>
      </c>
      <c r="M14" s="2">
        <v>1</v>
      </c>
      <c r="N14" s="2" t="s">
        <v>127</v>
      </c>
      <c r="O14" s="2" t="s">
        <v>25</v>
      </c>
      <c r="P14" s="2">
        <v>1</v>
      </c>
      <c r="Q14" s="3" t="str">
        <f>HYPERLINK("https://modelscope.cn/models/deepseek-ai/DeepSeek-R1-Distill-Qwen-7B","https://modelscope.cn/models/deepseek-ai/DeepSeek-R1-Distill-Qwen-7B")</f>
        <v>https://modelscope.cn/models/deepseek-ai/DeepSeek-R1-Distill-Qwen-7B</v>
      </c>
      <c r="R14" s="2" t="s">
        <v>18</v>
      </c>
    </row>
    <row r="15" spans="1:18" ht="16.5" x14ac:dyDescent="0.35">
      <c r="A15" s="2" t="s">
        <v>150</v>
      </c>
      <c r="B15" s="2" t="s">
        <v>33</v>
      </c>
      <c r="C15" s="2" t="s">
        <v>134</v>
      </c>
      <c r="D15" s="2" t="s">
        <v>34</v>
      </c>
      <c r="E15" s="2" t="s">
        <v>40</v>
      </c>
      <c r="F15" s="2" t="s">
        <v>41</v>
      </c>
      <c r="G15" s="2" t="s">
        <v>42</v>
      </c>
      <c r="H15" s="2" t="s">
        <v>152</v>
      </c>
      <c r="I15" s="2" t="s">
        <v>21</v>
      </c>
      <c r="J15" s="2" t="s">
        <v>22</v>
      </c>
      <c r="K15" s="2" t="s">
        <v>23</v>
      </c>
      <c r="L15" s="2" t="s">
        <v>38</v>
      </c>
      <c r="M15" s="2">
        <v>1</v>
      </c>
      <c r="N15" s="2" t="s">
        <v>127</v>
      </c>
      <c r="O15" s="2" t="s">
        <v>39</v>
      </c>
      <c r="P15" s="2">
        <v>8</v>
      </c>
      <c r="Q15" s="3" t="str">
        <f>HYPERLINK("https://modelscope.cn/models/deepseek-ai/DeepSeek-V3","https://modelscope.cn/models/deepseek-ai/DeepSeek-V3")</f>
        <v>https://modelscope.cn/models/deepseek-ai/DeepSeek-V3</v>
      </c>
      <c r="R15" s="2" t="s">
        <v>18</v>
      </c>
    </row>
    <row r="16" spans="1:18" ht="16.5" x14ac:dyDescent="0.35">
      <c r="A16" s="2" t="s">
        <v>150</v>
      </c>
      <c r="B16" s="2" t="s">
        <v>33</v>
      </c>
      <c r="C16" s="2" t="s">
        <v>53</v>
      </c>
      <c r="D16" s="2" t="s">
        <v>34</v>
      </c>
      <c r="E16" s="2" t="s">
        <v>40</v>
      </c>
      <c r="F16" s="2" t="s">
        <v>41</v>
      </c>
      <c r="G16" s="2" t="s">
        <v>42</v>
      </c>
      <c r="H16" s="2" t="s">
        <v>152</v>
      </c>
      <c r="I16" s="2" t="s">
        <v>21</v>
      </c>
      <c r="J16" s="2" t="s">
        <v>22</v>
      </c>
      <c r="K16" s="2" t="s">
        <v>23</v>
      </c>
      <c r="L16" s="2" t="s">
        <v>38</v>
      </c>
      <c r="M16" s="2">
        <v>1</v>
      </c>
      <c r="N16" s="2" t="s">
        <v>127</v>
      </c>
      <c r="O16" s="2" t="s">
        <v>39</v>
      </c>
      <c r="P16" s="2">
        <v>8</v>
      </c>
      <c r="Q16" s="3" t="str">
        <f>HYPERLINK("https://modelscope.cn/models/deepseek-ai/DeepSeek-V3.1","https://modelscope.cn/models/deepseek-ai/DeepSeek-V3.1")</f>
        <v>https://modelscope.cn/models/deepseek-ai/DeepSeek-V3.1</v>
      </c>
      <c r="R16" s="2" t="s">
        <v>18</v>
      </c>
    </row>
    <row r="17" spans="1:18" ht="16.5" x14ac:dyDescent="0.35">
      <c r="A17" s="2" t="s">
        <v>150</v>
      </c>
      <c r="B17" s="2" t="s">
        <v>33</v>
      </c>
      <c r="C17" s="2" t="s">
        <v>54</v>
      </c>
      <c r="D17" s="2" t="s">
        <v>34</v>
      </c>
      <c r="E17" s="2" t="s">
        <v>55</v>
      </c>
      <c r="F17" s="2" t="s">
        <v>41</v>
      </c>
      <c r="G17" s="2" t="s">
        <v>56</v>
      </c>
      <c r="H17" s="2" t="s">
        <v>152</v>
      </c>
      <c r="I17" s="2" t="s">
        <v>173</v>
      </c>
      <c r="J17" s="2" t="s">
        <v>22</v>
      </c>
      <c r="K17" s="2" t="s">
        <v>23</v>
      </c>
      <c r="L17" s="2" t="s">
        <v>38</v>
      </c>
      <c r="M17" s="2">
        <v>1</v>
      </c>
      <c r="N17" s="2" t="s">
        <v>127</v>
      </c>
      <c r="O17" s="2" t="s">
        <v>39</v>
      </c>
      <c r="P17" s="2">
        <v>8</v>
      </c>
      <c r="Q17" s="3" t="str">
        <f>HYPERLINK("https://modelscope.cn/models/deepseek-ai/DeepSeek-V3.2","https://modelscope.cn/models/deepseek-ai/DeepSeek-V3.2")</f>
        <v>https://modelscope.cn/models/deepseek-ai/DeepSeek-V3.2</v>
      </c>
      <c r="R17" s="2" t="s">
        <v>18</v>
      </c>
    </row>
    <row r="18" spans="1:18" ht="16.5" x14ac:dyDescent="0.35">
      <c r="A18" s="2" t="s">
        <v>150</v>
      </c>
      <c r="B18" s="2" t="s">
        <v>33</v>
      </c>
      <c r="C18" s="2" t="s">
        <v>135</v>
      </c>
      <c r="D18" s="2" t="s">
        <v>34</v>
      </c>
      <c r="E18" s="2" t="s">
        <v>55</v>
      </c>
      <c r="F18" s="2" t="s">
        <v>41</v>
      </c>
      <c r="G18" s="2" t="s">
        <v>57</v>
      </c>
      <c r="H18" s="2" t="s">
        <v>152</v>
      </c>
      <c r="I18" s="2" t="s">
        <v>21</v>
      </c>
      <c r="J18" s="2" t="s">
        <v>22</v>
      </c>
      <c r="K18" s="2" t="s">
        <v>23</v>
      </c>
      <c r="L18" s="2" t="s">
        <v>38</v>
      </c>
      <c r="M18" s="2">
        <v>1</v>
      </c>
      <c r="N18" s="2" t="s">
        <v>127</v>
      </c>
      <c r="O18" s="2" t="s">
        <v>39</v>
      </c>
      <c r="P18" s="2">
        <v>8</v>
      </c>
      <c r="Q18" s="3" t="str">
        <f>HYPERLINK("https://modelscope.cn/models/deepseek-ai/DeepSeek-V3.2-Exp","https://modelscope.cn/models/deepseek-ai/DeepSeek-V3.2-Exp")</f>
        <v>https://modelscope.cn/models/deepseek-ai/DeepSeek-V3.2-Exp</v>
      </c>
      <c r="R18" s="2" t="s">
        <v>18</v>
      </c>
    </row>
    <row r="19" spans="1:18" ht="16.5" x14ac:dyDescent="0.35">
      <c r="A19" s="2" t="s">
        <v>150</v>
      </c>
      <c r="B19" s="2" t="s">
        <v>33</v>
      </c>
      <c r="C19" s="2" t="s">
        <v>136</v>
      </c>
      <c r="D19" s="2" t="s">
        <v>34</v>
      </c>
      <c r="E19" s="2" t="s">
        <v>40</v>
      </c>
      <c r="F19" s="2" t="s">
        <v>41</v>
      </c>
      <c r="G19" s="2" t="s">
        <v>42</v>
      </c>
      <c r="H19" s="2" t="s">
        <v>152</v>
      </c>
      <c r="I19" s="2" t="s">
        <v>21</v>
      </c>
      <c r="J19" s="2" t="s">
        <v>22</v>
      </c>
      <c r="K19" s="2" t="s">
        <v>23</v>
      </c>
      <c r="L19" s="2" t="s">
        <v>38</v>
      </c>
      <c r="M19" s="2">
        <v>1</v>
      </c>
      <c r="N19" s="2" t="s">
        <v>127</v>
      </c>
      <c r="O19" s="2" t="s">
        <v>39</v>
      </c>
      <c r="P19" s="2">
        <v>8</v>
      </c>
      <c r="Q19" s="3" t="str">
        <f>HYPERLINK("https://modelscope.cn/models/deepseek-ai/DeepSeek-V3-0324","https://modelscope.cn/models/deepseek-ai/DeepSeek-V3-0324")</f>
        <v>https://modelscope.cn/models/deepseek-ai/DeepSeek-V3-0324</v>
      </c>
      <c r="R19" s="2" t="s">
        <v>18</v>
      </c>
    </row>
    <row r="20" spans="1:18" ht="16.5" x14ac:dyDescent="0.35">
      <c r="A20" s="2" t="s">
        <v>150</v>
      </c>
      <c r="B20" s="2" t="s">
        <v>33</v>
      </c>
      <c r="C20" s="9" t="s">
        <v>137</v>
      </c>
      <c r="D20" s="9" t="s">
        <v>34</v>
      </c>
      <c r="E20" s="9" t="s">
        <v>58</v>
      </c>
      <c r="F20" s="9" t="s">
        <v>175</v>
      </c>
      <c r="G20" s="2" t="s">
        <v>59</v>
      </c>
      <c r="H20" s="2" t="s">
        <v>152</v>
      </c>
      <c r="I20" s="2" t="s">
        <v>173</v>
      </c>
      <c r="J20" s="2" t="s">
        <v>22</v>
      </c>
      <c r="K20" s="2" t="s">
        <v>23</v>
      </c>
      <c r="L20" s="2" t="s">
        <v>38</v>
      </c>
      <c r="M20" s="2">
        <v>1</v>
      </c>
      <c r="N20" s="2" t="s">
        <v>127</v>
      </c>
      <c r="O20" s="2" t="s">
        <v>39</v>
      </c>
      <c r="P20" s="4">
        <v>8</v>
      </c>
      <c r="Q20" s="3" t="str">
        <f>HYPERLINK("https://modelscope.cn/models/deepseek-ai/DeepSeek-V4-Flash","https://modelscope.cn/models/deepseek-ai/DeepSeek-V4-Flash")</f>
        <v>https://modelscope.cn/models/deepseek-ai/DeepSeek-V4-Flash</v>
      </c>
      <c r="R20" s="2" t="s">
        <v>18</v>
      </c>
    </row>
    <row r="21" spans="1:18" s="6" customFormat="1" ht="16.5" x14ac:dyDescent="0.35">
      <c r="A21" s="2" t="s">
        <v>150</v>
      </c>
      <c r="B21" s="4" t="s">
        <v>33</v>
      </c>
      <c r="C21" s="4" t="s">
        <v>141</v>
      </c>
      <c r="D21" s="4" t="s">
        <v>34</v>
      </c>
      <c r="E21" s="4" t="s">
        <v>60</v>
      </c>
      <c r="F21" s="4" t="s">
        <v>61</v>
      </c>
      <c r="G21" s="4" t="s">
        <v>62</v>
      </c>
      <c r="H21" s="5" t="str">
        <f>HYPERLINK("https://klx-public.bj.bcebos.com/v1/kdp/docker/klms-xtrtllm-ubuntu20.04.deepseek_20250407.tgz","klms-xtrtllm-ubuntu20.04.deepseek_20250407")</f>
        <v>klms-xtrtllm-ubuntu20.04.deepseek_20250407</v>
      </c>
      <c r="I21" s="4" t="s">
        <v>21</v>
      </c>
      <c r="J21" s="4" t="s">
        <v>22</v>
      </c>
      <c r="K21" s="4" t="s">
        <v>23</v>
      </c>
      <c r="L21" s="4" t="s">
        <v>24</v>
      </c>
      <c r="M21" s="4">
        <v>1</v>
      </c>
      <c r="N21" s="4" t="s">
        <v>127</v>
      </c>
      <c r="O21" s="4" t="s">
        <v>63</v>
      </c>
      <c r="P21" s="4">
        <v>8</v>
      </c>
      <c r="Q21" s="5" t="str">
        <f>HYPERLINK("https://klx-public.bj.bcebos.com/v1/anyinfer/DeepSeek/V8/DeepSeek-r1-mla-p999-engine.tar.gz","https://klx-public.bj.bcebos.com/v1/anyinfer/DeepSeek/V8/DeepSeek-r1-mla-p999-engine.tar.gz")</f>
        <v>https://klx-public.bj.bcebos.com/v1/anyinfer/DeepSeek/V8/DeepSeek-r1-mla-p999-engine.tar.gz</v>
      </c>
      <c r="R21" s="4" t="s">
        <v>18</v>
      </c>
    </row>
    <row r="22" spans="1:18" ht="16.5" x14ac:dyDescent="0.35">
      <c r="A22" s="2" t="s">
        <v>150</v>
      </c>
      <c r="B22" s="2" t="s">
        <v>64</v>
      </c>
      <c r="C22" s="4" t="s">
        <v>139</v>
      </c>
      <c r="D22" s="4" t="s">
        <v>65</v>
      </c>
      <c r="E22" s="4" t="s">
        <v>66</v>
      </c>
      <c r="F22" s="4" t="s">
        <v>144</v>
      </c>
      <c r="G22" s="4" t="s">
        <v>67</v>
      </c>
      <c r="H22" s="4" t="s">
        <v>170</v>
      </c>
      <c r="I22" s="4" t="s">
        <v>172</v>
      </c>
      <c r="J22" s="4" t="s">
        <v>22</v>
      </c>
      <c r="K22" s="4" t="s">
        <v>23</v>
      </c>
      <c r="L22" s="4" t="s">
        <v>68</v>
      </c>
      <c r="M22" s="4">
        <v>1</v>
      </c>
      <c r="N22" s="4" t="s">
        <v>127</v>
      </c>
      <c r="O22" s="4" t="s">
        <v>69</v>
      </c>
      <c r="P22" s="4">
        <v>2</v>
      </c>
      <c r="Q22" s="3" t="str">
        <f>HYPERLINK("https://modelscope.cn/models/Eco-Tech/Qwen3.6-27B-w8a8","https://modelscope.cn/models/Eco-Tech/Qwen3.6-27B-w8a8")</f>
        <v>https://modelscope.cn/models/Eco-Tech/Qwen3.6-27B-w8a8</v>
      </c>
      <c r="R22" s="2" t="s">
        <v>149</v>
      </c>
    </row>
    <row r="23" spans="1:18" ht="16.5" x14ac:dyDescent="0.35">
      <c r="A23" s="2" t="s">
        <v>150</v>
      </c>
      <c r="B23" s="2" t="s">
        <v>64</v>
      </c>
      <c r="C23" s="4" t="s">
        <v>70</v>
      </c>
      <c r="D23" s="4" t="s">
        <v>65</v>
      </c>
      <c r="E23" s="4" t="s">
        <v>71</v>
      </c>
      <c r="F23" s="4" t="s">
        <v>61</v>
      </c>
      <c r="G23" s="4" t="s">
        <v>72</v>
      </c>
      <c r="H23" s="4" t="s">
        <v>170</v>
      </c>
      <c r="I23" s="4" t="s">
        <v>172</v>
      </c>
      <c r="J23" s="4" t="s">
        <v>22</v>
      </c>
      <c r="K23" s="4" t="s">
        <v>23</v>
      </c>
      <c r="L23" s="4" t="s">
        <v>68</v>
      </c>
      <c r="M23" s="4">
        <v>1</v>
      </c>
      <c r="N23" s="4" t="s">
        <v>127</v>
      </c>
      <c r="O23" s="4" t="s">
        <v>69</v>
      </c>
      <c r="P23" s="4">
        <v>2</v>
      </c>
      <c r="Q23" s="3" t="str">
        <f>HYPERLINK("https://modelscope.cn/models/Eco-Tech/Qwen3.6-35B-A3B-w8a8","https://modelscope.cn/models/Eco-Tech/Qwen3.6-35B-A3B-w8a8")</f>
        <v>https://modelscope.cn/models/Eco-Tech/Qwen3.6-35B-A3B-w8a8</v>
      </c>
      <c r="R23" s="2" t="s">
        <v>149</v>
      </c>
    </row>
    <row r="24" spans="1:18" ht="16.5" x14ac:dyDescent="0.35">
      <c r="A24" s="2" t="s">
        <v>150</v>
      </c>
      <c r="B24" s="2" t="s">
        <v>73</v>
      </c>
      <c r="C24" s="2" t="s">
        <v>142</v>
      </c>
      <c r="D24" s="2" t="s">
        <v>34</v>
      </c>
      <c r="E24" s="2">
        <v>8.0299999999999994</v>
      </c>
      <c r="F24" s="2" t="s">
        <v>36</v>
      </c>
      <c r="G24" s="4">
        <v>16</v>
      </c>
      <c r="H24" s="2" t="s">
        <v>152</v>
      </c>
      <c r="I24" s="2" t="s">
        <v>21</v>
      </c>
      <c r="J24" s="2" t="s">
        <v>22</v>
      </c>
      <c r="K24" s="2" t="s">
        <v>23</v>
      </c>
      <c r="L24" s="2" t="s">
        <v>24</v>
      </c>
      <c r="M24" s="2">
        <v>1</v>
      </c>
      <c r="N24" s="2" t="s">
        <v>127</v>
      </c>
      <c r="O24" s="2" t="s">
        <v>25</v>
      </c>
      <c r="P24" s="2">
        <v>1</v>
      </c>
      <c r="Q24" s="3" t="str">
        <f>HYPERLINK("https://modelscope.cn/models/LLM-Research/Meta-Llama-3-8B","https://modelscope.cn/models/LLM-Research/Meta-Llama-3-8B")</f>
        <v>https://modelscope.cn/models/LLM-Research/Meta-Llama-3-8B</v>
      </c>
      <c r="R24" s="2" t="s">
        <v>18</v>
      </c>
    </row>
    <row r="25" spans="1:18" ht="16.5" x14ac:dyDescent="0.35">
      <c r="A25" s="2" t="s">
        <v>150</v>
      </c>
      <c r="B25" s="2" t="s">
        <v>74</v>
      </c>
      <c r="C25" s="2" t="s">
        <v>181</v>
      </c>
      <c r="D25" s="2" t="s">
        <v>34</v>
      </c>
      <c r="E25" s="2">
        <v>230</v>
      </c>
      <c r="F25" s="2" t="s">
        <v>175</v>
      </c>
      <c r="G25" s="2">
        <v>139.91999999999999</v>
      </c>
      <c r="H25" s="2" t="s">
        <v>152</v>
      </c>
      <c r="I25" s="2" t="s">
        <v>176</v>
      </c>
      <c r="J25" s="2" t="s">
        <v>76</v>
      </c>
      <c r="K25" s="2" t="s">
        <v>23</v>
      </c>
      <c r="L25" s="2" t="s">
        <v>77</v>
      </c>
      <c r="M25" s="2">
        <v>1</v>
      </c>
      <c r="N25" s="2" t="s">
        <v>127</v>
      </c>
      <c r="O25" s="2" t="s">
        <v>78</v>
      </c>
      <c r="P25" s="2">
        <v>4</v>
      </c>
      <c r="Q25" s="10" t="str">
        <f>HYPERLINK("https://modelscope.cn/models/nv-community/MiniMax-M2.5-NVFP4")</f>
        <v>https://modelscope.cn/models/nv-community/MiniMax-M2.5-NVFP4</v>
      </c>
      <c r="R25" s="2" t="s">
        <v>179</v>
      </c>
    </row>
    <row r="26" spans="1:18" ht="16.5" x14ac:dyDescent="0.35">
      <c r="A26" s="2" t="s">
        <v>150</v>
      </c>
      <c r="B26" s="2" t="s">
        <v>74</v>
      </c>
      <c r="C26" s="2" t="s">
        <v>180</v>
      </c>
      <c r="D26" s="2" t="s">
        <v>34</v>
      </c>
      <c r="E26" s="2">
        <v>230</v>
      </c>
      <c r="F26" s="2" t="s">
        <v>175</v>
      </c>
      <c r="G26" s="2">
        <v>139.91999999999999</v>
      </c>
      <c r="H26" s="2" t="s">
        <v>152</v>
      </c>
      <c r="I26" s="2" t="s">
        <v>176</v>
      </c>
      <c r="J26" s="2" t="s">
        <v>76</v>
      </c>
      <c r="K26" s="2" t="s">
        <v>23</v>
      </c>
      <c r="L26" s="2" t="s">
        <v>77</v>
      </c>
      <c r="M26" s="2">
        <v>1</v>
      </c>
      <c r="N26" s="2" t="s">
        <v>127</v>
      </c>
      <c r="O26" s="2" t="s">
        <v>78</v>
      </c>
      <c r="P26" s="2">
        <v>4</v>
      </c>
      <c r="Q26" s="10" t="str">
        <f>HYPERLINK("https://modelscope.cn/models/nv-community/MiniMax-M2.7-NVFP4")</f>
        <v>https://modelscope.cn/models/nv-community/MiniMax-M2.7-NVFP4</v>
      </c>
      <c r="R26" s="2" t="s">
        <v>179</v>
      </c>
    </row>
    <row r="27" spans="1:18" ht="16.5" x14ac:dyDescent="0.35">
      <c r="A27" s="2" t="s">
        <v>150</v>
      </c>
      <c r="B27" s="2" t="s">
        <v>74</v>
      </c>
      <c r="C27" s="2" t="s">
        <v>177</v>
      </c>
      <c r="D27" s="2" t="s">
        <v>34</v>
      </c>
      <c r="E27" s="2" t="s">
        <v>79</v>
      </c>
      <c r="F27" s="2" t="s">
        <v>41</v>
      </c>
      <c r="G27" s="2" t="s">
        <v>80</v>
      </c>
      <c r="H27" s="2" t="s">
        <v>154</v>
      </c>
      <c r="I27" s="2" t="s">
        <v>176</v>
      </c>
      <c r="J27" s="2" t="s">
        <v>76</v>
      </c>
      <c r="K27" s="2" t="s">
        <v>23</v>
      </c>
      <c r="L27" s="2" t="s">
        <v>77</v>
      </c>
      <c r="M27" s="2">
        <v>1</v>
      </c>
      <c r="N27" s="4" t="s">
        <v>127</v>
      </c>
      <c r="O27" s="2" t="s">
        <v>78</v>
      </c>
      <c r="P27" s="4">
        <v>8</v>
      </c>
      <c r="Q27" s="3" t="str">
        <f>HYPERLINK("https://modelscope.cn/models/MiniMax/MiniMax-M3-MXFP8","https://modelscope.cn/models/MiniMax/MiniMax-M3-MXFP8")</f>
        <v>https://modelscope.cn/models/MiniMax/MiniMax-M3-MXFP8</v>
      </c>
      <c r="R27" s="2" t="s">
        <v>18</v>
      </c>
    </row>
    <row r="28" spans="1:18" s="6" customFormat="1" ht="16.5" x14ac:dyDescent="0.35">
      <c r="A28" s="2" t="s">
        <v>150</v>
      </c>
      <c r="B28" s="4" t="s">
        <v>74</v>
      </c>
      <c r="C28" s="4" t="s">
        <v>81</v>
      </c>
      <c r="D28" s="4" t="s">
        <v>34</v>
      </c>
      <c r="E28" s="4" t="s">
        <v>75</v>
      </c>
      <c r="F28" s="4" t="s">
        <v>145</v>
      </c>
      <c r="G28" s="4" t="s">
        <v>82</v>
      </c>
      <c r="H28" s="2" t="s">
        <v>152</v>
      </c>
      <c r="I28" s="4" t="s">
        <v>176</v>
      </c>
      <c r="J28" s="4" t="s">
        <v>76</v>
      </c>
      <c r="K28" s="4" t="s">
        <v>23</v>
      </c>
      <c r="L28" s="4" t="s">
        <v>77</v>
      </c>
      <c r="M28" s="4">
        <v>1</v>
      </c>
      <c r="N28" s="4" t="s">
        <v>127</v>
      </c>
      <c r="O28" s="4" t="s">
        <v>78</v>
      </c>
      <c r="P28" s="4">
        <v>4</v>
      </c>
      <c r="Q28" s="5" t="str">
        <f>HYPERLINK("https://modelscope.cn/models/nv-community/MiniMax-M2.5-NVFP4","https://modelscope.cn/models/nv-community/MiniMax-M2.5-NVFP4")</f>
        <v>https://modelscope.cn/models/nv-community/MiniMax-M2.5-NVFP4</v>
      </c>
      <c r="R28" s="4" t="s">
        <v>18</v>
      </c>
    </row>
    <row r="29" spans="1:18" ht="16.5" x14ac:dyDescent="0.35">
      <c r="A29" s="2" t="s">
        <v>150</v>
      </c>
      <c r="B29" s="2" t="s">
        <v>64</v>
      </c>
      <c r="C29" s="2" t="s">
        <v>83</v>
      </c>
      <c r="D29" s="2" t="s">
        <v>34</v>
      </c>
      <c r="E29" s="2">
        <v>32.76</v>
      </c>
      <c r="F29" s="2" t="s">
        <v>36</v>
      </c>
      <c r="G29" s="2" t="s">
        <v>51</v>
      </c>
      <c r="H29" s="2" t="s">
        <v>152</v>
      </c>
      <c r="I29" s="2" t="s">
        <v>21</v>
      </c>
      <c r="J29" s="2" t="s">
        <v>22</v>
      </c>
      <c r="K29" s="2" t="s">
        <v>23</v>
      </c>
      <c r="L29" s="2" t="s">
        <v>24</v>
      </c>
      <c r="M29" s="2">
        <v>1</v>
      </c>
      <c r="N29" s="2" t="s">
        <v>127</v>
      </c>
      <c r="O29" s="2" t="s">
        <v>25</v>
      </c>
      <c r="P29" s="2">
        <v>2</v>
      </c>
      <c r="Q29" s="3" t="str">
        <f>HYPERLINK("https://modelscope.cn/models/Qwen/Qwen2.5-32B-Instruct","https://modelscope.cn/models/Qwen/Qwen2.5-32B-Instruct")</f>
        <v>https://modelscope.cn/models/Qwen/Qwen2.5-32B-Instruct</v>
      </c>
      <c r="R29" s="2" t="s">
        <v>18</v>
      </c>
    </row>
    <row r="30" spans="1:18" ht="16.5" x14ac:dyDescent="0.35">
      <c r="A30" s="2" t="s">
        <v>150</v>
      </c>
      <c r="B30" s="2" t="s">
        <v>64</v>
      </c>
      <c r="C30" s="2" t="s">
        <v>84</v>
      </c>
      <c r="D30" s="2" t="s">
        <v>65</v>
      </c>
      <c r="E30" s="2">
        <v>73.41</v>
      </c>
      <c r="F30" s="2" t="s">
        <v>36</v>
      </c>
      <c r="G30" s="2" t="s">
        <v>85</v>
      </c>
      <c r="H30" s="2" t="s">
        <v>152</v>
      </c>
      <c r="I30" s="2" t="s">
        <v>21</v>
      </c>
      <c r="J30" s="2" t="s">
        <v>22</v>
      </c>
      <c r="K30" s="2" t="s">
        <v>23</v>
      </c>
      <c r="L30" s="2" t="s">
        <v>24</v>
      </c>
      <c r="M30" s="2">
        <v>1</v>
      </c>
      <c r="N30" s="2" t="s">
        <v>127</v>
      </c>
      <c r="O30" s="2" t="s">
        <v>25</v>
      </c>
      <c r="P30" s="2">
        <v>4</v>
      </c>
      <c r="Q30" s="3" t="str">
        <f>HYPERLINK("https://modelscope.cn/models/Qwen/Qwen2.5-VL-72B-Instruct","https://modelscope.cn/models/Qwen/Qwen2.5-VL-72B-Instruct")</f>
        <v>https://modelscope.cn/models/Qwen/Qwen2.5-VL-72B-Instruct</v>
      </c>
      <c r="R30" s="2" t="s">
        <v>18</v>
      </c>
    </row>
    <row r="31" spans="1:18" ht="16.5" x14ac:dyDescent="0.35">
      <c r="A31" s="2" t="s">
        <v>150</v>
      </c>
      <c r="B31" s="2" t="s">
        <v>64</v>
      </c>
      <c r="C31" s="2" t="s">
        <v>86</v>
      </c>
      <c r="D31" s="2" t="s">
        <v>65</v>
      </c>
      <c r="E31" s="2">
        <v>8.2899999999999991</v>
      </c>
      <c r="F31" s="2" t="s">
        <v>36</v>
      </c>
      <c r="G31" s="2" t="s">
        <v>87</v>
      </c>
      <c r="H31" s="2" t="s">
        <v>152</v>
      </c>
      <c r="I31" s="2" t="s">
        <v>21</v>
      </c>
      <c r="J31" s="2" t="s">
        <v>22</v>
      </c>
      <c r="K31" s="2" t="s">
        <v>23</v>
      </c>
      <c r="L31" s="2" t="s">
        <v>24</v>
      </c>
      <c r="M31" s="2">
        <v>1</v>
      </c>
      <c r="N31" s="2" t="s">
        <v>127</v>
      </c>
      <c r="O31" s="2" t="s">
        <v>25</v>
      </c>
      <c r="P31" s="2">
        <v>1</v>
      </c>
      <c r="Q31" s="3" t="str">
        <f>HYPERLINK("https://modelscope.cn/models/Qwen/Qwen2.5-VL-7B-Instruct","https://modelscope.cn/models/Qwen/Qwen2.5-VL-7B-Instruct")</f>
        <v>https://modelscope.cn/models/Qwen/Qwen2.5-VL-7B-Instruct</v>
      </c>
      <c r="R31" s="2" t="s">
        <v>18</v>
      </c>
    </row>
    <row r="32" spans="1:18" ht="16.5" x14ac:dyDescent="0.35">
      <c r="A32" s="2" t="s">
        <v>150</v>
      </c>
      <c r="B32" s="2" t="s">
        <v>64</v>
      </c>
      <c r="C32" s="2" t="s">
        <v>88</v>
      </c>
      <c r="D32" s="2" t="s">
        <v>65</v>
      </c>
      <c r="E32" s="2">
        <v>125.09</v>
      </c>
      <c r="F32" s="2" t="s">
        <v>36</v>
      </c>
      <c r="G32" s="2" t="s">
        <v>89</v>
      </c>
      <c r="H32" s="2" t="s">
        <v>152</v>
      </c>
      <c r="I32" s="2" t="s">
        <v>176</v>
      </c>
      <c r="J32" s="2" t="s">
        <v>76</v>
      </c>
      <c r="K32" s="2" t="s">
        <v>23</v>
      </c>
      <c r="L32" s="2" t="s">
        <v>77</v>
      </c>
      <c r="M32" s="2">
        <v>1</v>
      </c>
      <c r="N32" s="7" t="s">
        <v>127</v>
      </c>
      <c r="O32" s="2" t="s">
        <v>78</v>
      </c>
      <c r="P32" s="2">
        <v>4</v>
      </c>
      <c r="Q32" s="3" t="str">
        <f>HYPERLINK("https://modelscope.cn/models/Qwen/Qwen3.5-122B-A10B","https://modelscope.cn/models/Qwen/Qwen3.5-122B-A10B")</f>
        <v>https://modelscope.cn/models/Qwen/Qwen3.5-122B-A10B</v>
      </c>
      <c r="R32" s="2" t="s">
        <v>18</v>
      </c>
    </row>
    <row r="33" spans="1:18" ht="16.5" x14ac:dyDescent="0.35">
      <c r="A33" s="2" t="s">
        <v>150</v>
      </c>
      <c r="B33" s="2" t="s">
        <v>64</v>
      </c>
      <c r="C33" s="2" t="s">
        <v>90</v>
      </c>
      <c r="D33" s="2" t="s">
        <v>65</v>
      </c>
      <c r="E33" s="2">
        <v>27.78</v>
      </c>
      <c r="F33" s="2" t="s">
        <v>36</v>
      </c>
      <c r="G33" s="2" t="s">
        <v>91</v>
      </c>
      <c r="H33" s="2" t="s">
        <v>152</v>
      </c>
      <c r="I33" s="2" t="s">
        <v>176</v>
      </c>
      <c r="J33" s="2" t="s">
        <v>76</v>
      </c>
      <c r="K33" s="2" t="s">
        <v>23</v>
      </c>
      <c r="L33" s="2" t="s">
        <v>77</v>
      </c>
      <c r="M33" s="2">
        <v>1</v>
      </c>
      <c r="N33" s="7" t="s">
        <v>127</v>
      </c>
      <c r="O33" s="2" t="s">
        <v>78</v>
      </c>
      <c r="P33" s="2">
        <v>1</v>
      </c>
      <c r="Q33" s="3" t="str">
        <f>HYPERLINK("https://modelscope.cn/models/Qwen/Qwen3.5-27B","https://modelscope.cn/models/Qwen/Qwen3.5-27B")</f>
        <v>https://modelscope.cn/models/Qwen/Qwen3.5-27B</v>
      </c>
      <c r="R33" s="2" t="s">
        <v>18</v>
      </c>
    </row>
    <row r="34" spans="1:18" ht="16.5" x14ac:dyDescent="0.35">
      <c r="A34" s="2" t="s">
        <v>150</v>
      </c>
      <c r="B34" s="2" t="s">
        <v>64</v>
      </c>
      <c r="C34" s="2" t="s">
        <v>92</v>
      </c>
      <c r="D34" s="2" t="s">
        <v>65</v>
      </c>
      <c r="E34" s="2">
        <v>35.950000000000003</v>
      </c>
      <c r="F34" s="2" t="s">
        <v>36</v>
      </c>
      <c r="G34" s="2" t="s">
        <v>93</v>
      </c>
      <c r="H34" s="2" t="s">
        <v>152</v>
      </c>
      <c r="I34" s="2" t="s">
        <v>178</v>
      </c>
      <c r="J34" s="2" t="s">
        <v>76</v>
      </c>
      <c r="K34" s="2" t="s">
        <v>23</v>
      </c>
      <c r="L34" s="2" t="s">
        <v>77</v>
      </c>
      <c r="M34" s="2">
        <v>1</v>
      </c>
      <c r="N34" s="7" t="s">
        <v>127</v>
      </c>
      <c r="O34" s="2" t="s">
        <v>78</v>
      </c>
      <c r="P34" s="2">
        <v>1</v>
      </c>
      <c r="Q34" s="3" t="str">
        <f>HYPERLINK("https://modelscope.cn/models/Qwen/Qwen3.5-35B-A3B","https://modelscope.cn/models/Qwen/Qwen3.5-35B-A3B")</f>
        <v>https://modelscope.cn/models/Qwen/Qwen3.5-35B-A3B</v>
      </c>
      <c r="R34" s="2" t="s">
        <v>18</v>
      </c>
    </row>
    <row r="35" spans="1:18" s="6" customFormat="1" ht="16.5" x14ac:dyDescent="0.35">
      <c r="A35" s="2" t="s">
        <v>150</v>
      </c>
      <c r="B35" s="4" t="s">
        <v>64</v>
      </c>
      <c r="C35" s="4" t="s">
        <v>157</v>
      </c>
      <c r="D35" s="4" t="s">
        <v>159</v>
      </c>
      <c r="E35" s="4">
        <v>397</v>
      </c>
      <c r="F35" s="4" t="s">
        <v>145</v>
      </c>
      <c r="G35" s="9">
        <v>251.25</v>
      </c>
      <c r="H35" s="2" t="s">
        <v>152</v>
      </c>
      <c r="I35" s="4" t="s">
        <v>176</v>
      </c>
      <c r="J35" s="4" t="s">
        <v>76</v>
      </c>
      <c r="K35" s="4" t="s">
        <v>23</v>
      </c>
      <c r="L35" s="4" t="s">
        <v>77</v>
      </c>
      <c r="M35" s="4">
        <v>1</v>
      </c>
      <c r="N35" s="9" t="s">
        <v>127</v>
      </c>
      <c r="O35" s="4" t="s">
        <v>78</v>
      </c>
      <c r="P35" s="4">
        <v>8</v>
      </c>
      <c r="Q35" s="10" t="str">
        <f>HYPERLINK("https://modelscope.cn/models/nv-community/Qwen3.5-397B-A17B-NVFP4")</f>
        <v>https://modelscope.cn/models/nv-community/Qwen3.5-397B-A17B-NVFP4</v>
      </c>
      <c r="R35" s="4" t="s">
        <v>147</v>
      </c>
    </row>
    <row r="36" spans="1:18" s="6" customFormat="1" ht="16.5" x14ac:dyDescent="0.35">
      <c r="A36" s="2" t="s">
        <v>150</v>
      </c>
      <c r="B36" s="4" t="s">
        <v>64</v>
      </c>
      <c r="C36" s="4" t="s">
        <v>140</v>
      </c>
      <c r="D36" s="4" t="s">
        <v>65</v>
      </c>
      <c r="E36" s="4" t="s">
        <v>66</v>
      </c>
      <c r="F36" s="4" t="s">
        <v>36</v>
      </c>
      <c r="G36" s="4" t="s">
        <v>91</v>
      </c>
      <c r="H36" s="4" t="s">
        <v>153</v>
      </c>
      <c r="I36" s="4" t="s">
        <v>172</v>
      </c>
      <c r="J36" s="4" t="s">
        <v>22</v>
      </c>
      <c r="K36" s="4" t="s">
        <v>23</v>
      </c>
      <c r="L36" s="4" t="s">
        <v>68</v>
      </c>
      <c r="M36" s="4">
        <v>1</v>
      </c>
      <c r="N36" s="7" t="s">
        <v>127</v>
      </c>
      <c r="O36" s="4" t="s">
        <v>69</v>
      </c>
      <c r="P36" s="4">
        <v>2</v>
      </c>
      <c r="Q36" s="5" t="str">
        <f>HYPERLINK("https://modelscope.cn/models/Qwen/Qwen3.6-27B","https://modelscope.cn/models/Qwen/Qwen3.6-27B")</f>
        <v>https://modelscope.cn/models/Qwen/Qwen3.6-27B</v>
      </c>
      <c r="R36" s="2" t="s">
        <v>149</v>
      </c>
    </row>
    <row r="37" spans="1:18" ht="16.5" x14ac:dyDescent="0.35">
      <c r="A37" s="2" t="s">
        <v>150</v>
      </c>
      <c r="B37" s="2" t="s">
        <v>64</v>
      </c>
      <c r="C37" s="2" t="s">
        <v>140</v>
      </c>
      <c r="D37" s="2" t="s">
        <v>65</v>
      </c>
      <c r="E37" s="8" t="s">
        <v>66</v>
      </c>
      <c r="F37" s="2" t="s">
        <v>36</v>
      </c>
      <c r="G37" s="2" t="s">
        <v>91</v>
      </c>
      <c r="H37" s="2" t="s">
        <v>152</v>
      </c>
      <c r="I37" s="2" t="s">
        <v>173</v>
      </c>
      <c r="J37" s="2" t="s">
        <v>22</v>
      </c>
      <c r="K37" s="2" t="s">
        <v>23</v>
      </c>
      <c r="L37" s="2" t="s">
        <v>24</v>
      </c>
      <c r="M37" s="2">
        <v>1</v>
      </c>
      <c r="N37" s="7" t="s">
        <v>127</v>
      </c>
      <c r="O37" s="2" t="s">
        <v>25</v>
      </c>
      <c r="P37" s="2">
        <v>2</v>
      </c>
      <c r="Q37" s="3" t="str">
        <f>HYPERLINK("https://modelscope.cn/models/Qwen/Qwen3.6-27B","https://modelscope.cn/models/Qwen/Qwen3.6-27B")</f>
        <v>https://modelscope.cn/models/Qwen/Qwen3.6-27B</v>
      </c>
      <c r="R37" s="2" t="s">
        <v>18</v>
      </c>
    </row>
    <row r="38" spans="1:18" s="6" customFormat="1" ht="16.5" x14ac:dyDescent="0.35">
      <c r="A38" s="2" t="s">
        <v>150</v>
      </c>
      <c r="B38" s="4" t="s">
        <v>64</v>
      </c>
      <c r="C38" s="4" t="s">
        <v>94</v>
      </c>
      <c r="D38" s="4" t="s">
        <v>65</v>
      </c>
      <c r="E38" s="4" t="s">
        <v>71</v>
      </c>
      <c r="F38" s="4" t="s">
        <v>36</v>
      </c>
      <c r="G38" s="4" t="s">
        <v>93</v>
      </c>
      <c r="H38" s="4" t="s">
        <v>153</v>
      </c>
      <c r="I38" s="4" t="s">
        <v>172</v>
      </c>
      <c r="J38" s="4" t="s">
        <v>22</v>
      </c>
      <c r="K38" s="4" t="s">
        <v>23</v>
      </c>
      <c r="L38" s="4" t="s">
        <v>68</v>
      </c>
      <c r="M38" s="4">
        <v>1</v>
      </c>
      <c r="N38" s="7" t="s">
        <v>127</v>
      </c>
      <c r="O38" s="4" t="s">
        <v>69</v>
      </c>
      <c r="P38" s="4">
        <v>2</v>
      </c>
      <c r="Q38" s="5" t="str">
        <f>HYPERLINK("https://modelscope.cn/models/Qwen/Qwen3.6-35B-A3B","https://modelscope.cn/models/Qwen/Qwen3.6-35B-A3B")</f>
        <v>https://modelscope.cn/models/Qwen/Qwen3.6-35B-A3B</v>
      </c>
      <c r="R38" s="2" t="s">
        <v>149</v>
      </c>
    </row>
    <row r="39" spans="1:18" ht="16.5" x14ac:dyDescent="0.35">
      <c r="A39" s="2" t="s">
        <v>150</v>
      </c>
      <c r="B39" s="2" t="s">
        <v>64</v>
      </c>
      <c r="C39" s="2" t="s">
        <v>94</v>
      </c>
      <c r="D39" s="2" t="s">
        <v>65</v>
      </c>
      <c r="E39" s="8" t="s">
        <v>71</v>
      </c>
      <c r="F39" s="2" t="s">
        <v>36</v>
      </c>
      <c r="G39" s="2" t="s">
        <v>93</v>
      </c>
      <c r="H39" s="2" t="s">
        <v>152</v>
      </c>
      <c r="I39" s="2" t="s">
        <v>173</v>
      </c>
      <c r="J39" s="2" t="s">
        <v>22</v>
      </c>
      <c r="K39" s="2" t="s">
        <v>23</v>
      </c>
      <c r="L39" s="2" t="s">
        <v>24</v>
      </c>
      <c r="M39" s="2">
        <v>1</v>
      </c>
      <c r="N39" s="7" t="s">
        <v>127</v>
      </c>
      <c r="O39" s="2" t="s">
        <v>25</v>
      </c>
      <c r="P39" s="2">
        <v>2</v>
      </c>
      <c r="Q39" s="3" t="str">
        <f>HYPERLINK("https://modelscope.cn/models/Qwen/Qwen3.6-35B-A3B","https://modelscope.cn/models/Qwen/Qwen3.6-35B-A3B")</f>
        <v>https://modelscope.cn/models/Qwen/Qwen3.6-35B-A3B</v>
      </c>
      <c r="R39" s="2" t="s">
        <v>18</v>
      </c>
    </row>
    <row r="40" spans="1:18" ht="16.5" x14ac:dyDescent="0.35">
      <c r="A40" s="2" t="s">
        <v>150</v>
      </c>
      <c r="B40" s="2" t="s">
        <v>64</v>
      </c>
      <c r="C40" s="2" t="s">
        <v>95</v>
      </c>
      <c r="D40" s="2" t="s">
        <v>34</v>
      </c>
      <c r="E40" s="2">
        <v>14.77</v>
      </c>
      <c r="F40" s="2" t="s">
        <v>36</v>
      </c>
      <c r="G40" s="2" t="s">
        <v>49</v>
      </c>
      <c r="H40" s="2" t="s">
        <v>152</v>
      </c>
      <c r="I40" s="2" t="s">
        <v>21</v>
      </c>
      <c r="J40" s="2" t="s">
        <v>22</v>
      </c>
      <c r="K40" s="2" t="s">
        <v>23</v>
      </c>
      <c r="L40" s="2" t="s">
        <v>24</v>
      </c>
      <c r="M40" s="2">
        <v>1</v>
      </c>
      <c r="N40" s="7" t="s">
        <v>127</v>
      </c>
      <c r="O40" s="2" t="s">
        <v>25</v>
      </c>
      <c r="P40" s="2">
        <v>1</v>
      </c>
      <c r="Q40" s="3" t="str">
        <f>HYPERLINK("https://modelscope.cn/models/Qwen/Qwen3-14B","https://modelscope.cn/models/Qwen/Qwen3-14B")</f>
        <v>https://modelscope.cn/models/Qwen/Qwen3-14B</v>
      </c>
      <c r="R40" s="2" t="s">
        <v>18</v>
      </c>
    </row>
    <row r="41" spans="1:18" ht="16.5" x14ac:dyDescent="0.35">
      <c r="A41" s="2" t="s">
        <v>150</v>
      </c>
      <c r="B41" s="2" t="s">
        <v>64</v>
      </c>
      <c r="C41" s="2" t="s">
        <v>96</v>
      </c>
      <c r="D41" s="2" t="s">
        <v>34</v>
      </c>
      <c r="E41" s="2">
        <v>235.09</v>
      </c>
      <c r="F41" s="2" t="s">
        <v>36</v>
      </c>
      <c r="G41" s="2" t="s">
        <v>97</v>
      </c>
      <c r="H41" s="2" t="s">
        <v>152</v>
      </c>
      <c r="I41" s="2" t="s">
        <v>21</v>
      </c>
      <c r="J41" s="2" t="s">
        <v>22</v>
      </c>
      <c r="K41" s="2" t="s">
        <v>23</v>
      </c>
      <c r="L41" s="2" t="s">
        <v>38</v>
      </c>
      <c r="M41" s="2">
        <v>1</v>
      </c>
      <c r="N41" s="7" t="s">
        <v>127</v>
      </c>
      <c r="O41" s="2" t="s">
        <v>39</v>
      </c>
      <c r="P41" s="2">
        <v>4</v>
      </c>
      <c r="Q41" s="3" t="str">
        <f>HYPERLINK("https://modelscope.cn/models/Qwen/Qwen3-235B-A22B","https://modelscope.cn/models/Qwen/Qwen3-235B-A22B")</f>
        <v>https://modelscope.cn/models/Qwen/Qwen3-235B-A22B</v>
      </c>
      <c r="R41" s="2" t="s">
        <v>18</v>
      </c>
    </row>
    <row r="42" spans="1:18" ht="16.5" x14ac:dyDescent="0.35">
      <c r="A42" s="2" t="s">
        <v>150</v>
      </c>
      <c r="B42" s="2" t="s">
        <v>64</v>
      </c>
      <c r="C42" s="2" t="s">
        <v>98</v>
      </c>
      <c r="D42" s="2" t="s">
        <v>34</v>
      </c>
      <c r="E42" s="2">
        <v>30.53</v>
      </c>
      <c r="F42" s="2" t="s">
        <v>36</v>
      </c>
      <c r="G42" s="2" t="s">
        <v>99</v>
      </c>
      <c r="H42" s="2" t="s">
        <v>152</v>
      </c>
      <c r="I42" s="2" t="s">
        <v>21</v>
      </c>
      <c r="J42" s="2" t="s">
        <v>22</v>
      </c>
      <c r="K42" s="2" t="s">
        <v>23</v>
      </c>
      <c r="L42" s="2" t="s">
        <v>24</v>
      </c>
      <c r="M42" s="2">
        <v>1</v>
      </c>
      <c r="N42" s="7" t="s">
        <v>127</v>
      </c>
      <c r="O42" s="2" t="s">
        <v>25</v>
      </c>
      <c r="P42" s="2">
        <v>2</v>
      </c>
      <c r="Q42" s="3" t="str">
        <f>HYPERLINK("https://modelscope.cn/models/Qwen/Qwen3-30B-A3B","https://modelscope.cn/models/Qwen/Qwen3-30B-A3B")</f>
        <v>https://modelscope.cn/models/Qwen/Qwen3-30B-A3B</v>
      </c>
      <c r="R42" s="2" t="s">
        <v>18</v>
      </c>
    </row>
    <row r="43" spans="1:18" ht="16.5" x14ac:dyDescent="0.35">
      <c r="A43" s="2" t="s">
        <v>150</v>
      </c>
      <c r="B43" s="2" t="s">
        <v>64</v>
      </c>
      <c r="C43" s="2" t="s">
        <v>100</v>
      </c>
      <c r="D43" s="2" t="s">
        <v>34</v>
      </c>
      <c r="E43" s="2">
        <v>32.76</v>
      </c>
      <c r="F43" s="2" t="s">
        <v>36</v>
      </c>
      <c r="G43" s="2" t="s">
        <v>51</v>
      </c>
      <c r="H43" s="2" t="s">
        <v>152</v>
      </c>
      <c r="I43" s="2" t="s">
        <v>21</v>
      </c>
      <c r="J43" s="2" t="s">
        <v>22</v>
      </c>
      <c r="K43" s="2" t="s">
        <v>23</v>
      </c>
      <c r="L43" s="2" t="s">
        <v>24</v>
      </c>
      <c r="M43" s="2">
        <v>1</v>
      </c>
      <c r="N43" s="7" t="s">
        <v>127</v>
      </c>
      <c r="O43" s="2" t="s">
        <v>25</v>
      </c>
      <c r="P43" s="2">
        <v>4</v>
      </c>
      <c r="Q43" s="3" t="str">
        <f>HYPERLINK("https://modelscope.cn/models/Qwen/Qwen3-32B","https://modelscope.cn/models/Qwen/Qwen3-32B")</f>
        <v>https://modelscope.cn/models/Qwen/Qwen3-32B</v>
      </c>
      <c r="R43" s="2" t="s">
        <v>18</v>
      </c>
    </row>
    <row r="44" spans="1:18" ht="16.5" x14ac:dyDescent="0.35">
      <c r="A44" s="2" t="s">
        <v>150</v>
      </c>
      <c r="B44" s="2" t="s">
        <v>64</v>
      </c>
      <c r="C44" s="2" t="s">
        <v>101</v>
      </c>
      <c r="D44" s="2" t="s">
        <v>34</v>
      </c>
      <c r="E44" s="2">
        <v>8.19</v>
      </c>
      <c r="F44" s="2" t="s">
        <v>36</v>
      </c>
      <c r="G44" s="2" t="s">
        <v>102</v>
      </c>
      <c r="H44" s="2" t="s">
        <v>152</v>
      </c>
      <c r="I44" s="2" t="s">
        <v>21</v>
      </c>
      <c r="J44" s="2" t="s">
        <v>22</v>
      </c>
      <c r="K44" s="2" t="s">
        <v>23</v>
      </c>
      <c r="L44" s="2" t="s">
        <v>24</v>
      </c>
      <c r="M44" s="2">
        <v>1</v>
      </c>
      <c r="N44" s="7" t="s">
        <v>127</v>
      </c>
      <c r="O44" s="2" t="s">
        <v>25</v>
      </c>
      <c r="P44" s="2">
        <v>1</v>
      </c>
      <c r="Q44" s="3" t="str">
        <f>HYPERLINK("https://modelscope.cn/models/Qwen/Qwen3-8B","https://modelscope.cn/models/Qwen/Qwen3-8B")</f>
        <v>https://modelscope.cn/models/Qwen/Qwen3-8B</v>
      </c>
      <c r="R44" s="2" t="s">
        <v>18</v>
      </c>
    </row>
    <row r="45" spans="1:18" ht="16.5" x14ac:dyDescent="0.35">
      <c r="A45" s="2" t="s">
        <v>150</v>
      </c>
      <c r="B45" s="2" t="s">
        <v>64</v>
      </c>
      <c r="C45" s="4" t="s">
        <v>103</v>
      </c>
      <c r="D45" s="2" t="s">
        <v>34</v>
      </c>
      <c r="E45" s="8" t="s">
        <v>71</v>
      </c>
      <c r="F45" s="2" t="s">
        <v>36</v>
      </c>
      <c r="G45" s="2" t="s">
        <v>104</v>
      </c>
      <c r="H45" s="2" t="s">
        <v>152</v>
      </c>
      <c r="I45" s="2" t="s">
        <v>176</v>
      </c>
      <c r="J45" s="2" t="s">
        <v>76</v>
      </c>
      <c r="K45" s="2" t="s">
        <v>23</v>
      </c>
      <c r="L45" s="2" t="s">
        <v>77</v>
      </c>
      <c r="M45" s="2">
        <v>1</v>
      </c>
      <c r="N45" s="7" t="s">
        <v>127</v>
      </c>
      <c r="O45" s="2" t="s">
        <v>78</v>
      </c>
      <c r="P45" s="4">
        <v>2</v>
      </c>
      <c r="Q45" s="3" t="str">
        <f>HYPERLINK("https://modelscope.cn/models/Qwen/Qwen-AgentWorld-35B-A3B","https://modelscope.cn/models/Qwen/Qwen-AgentWorld-35B-A3B")</f>
        <v>https://modelscope.cn/models/Qwen/Qwen-AgentWorld-35B-A3B</v>
      </c>
      <c r="R45" s="2" t="s">
        <v>18</v>
      </c>
    </row>
    <row r="46" spans="1:18" ht="16.5" x14ac:dyDescent="0.35">
      <c r="A46" s="2" t="s">
        <v>150</v>
      </c>
      <c r="B46" s="2" t="s">
        <v>64</v>
      </c>
      <c r="C46" s="2" t="s">
        <v>105</v>
      </c>
      <c r="D46" s="2" t="s">
        <v>17</v>
      </c>
      <c r="E46" s="2" t="s">
        <v>143</v>
      </c>
      <c r="F46" s="2" t="s">
        <v>36</v>
      </c>
      <c r="G46" s="2" t="s">
        <v>106</v>
      </c>
      <c r="H46" s="2" t="s">
        <v>152</v>
      </c>
      <c r="I46" s="2" t="s">
        <v>174</v>
      </c>
      <c r="J46" s="2" t="s">
        <v>22</v>
      </c>
      <c r="K46" s="2" t="s">
        <v>23</v>
      </c>
      <c r="L46" s="2" t="s">
        <v>24</v>
      </c>
      <c r="M46" s="2">
        <v>1</v>
      </c>
      <c r="N46" s="7" t="s">
        <v>127</v>
      </c>
      <c r="O46" s="2" t="s">
        <v>25</v>
      </c>
      <c r="P46" s="2">
        <v>1</v>
      </c>
      <c r="Q46" s="3" t="str">
        <f>HYPERLINK("https://modelscope.cn/models/Qwen/Qwen3-Embedding-0.6B","https://modelscope.cn/models/Qwen/Qwen3-Embedding-0.6B")</f>
        <v>https://modelscope.cn/models/Qwen/Qwen3-Embedding-0.6B</v>
      </c>
      <c r="R46" s="2" t="s">
        <v>18</v>
      </c>
    </row>
    <row r="47" spans="1:18" ht="16.5" x14ac:dyDescent="0.35">
      <c r="A47" s="2" t="s">
        <v>150</v>
      </c>
      <c r="B47" s="2" t="s">
        <v>64</v>
      </c>
      <c r="C47" s="2" t="s">
        <v>107</v>
      </c>
      <c r="D47" s="2" t="s">
        <v>34</v>
      </c>
      <c r="E47" s="2">
        <v>81.319999999999993</v>
      </c>
      <c r="F47" s="2" t="s">
        <v>36</v>
      </c>
      <c r="G47" s="2" t="s">
        <v>108</v>
      </c>
      <c r="H47" s="2" t="s">
        <v>152</v>
      </c>
      <c r="I47" s="2" t="s">
        <v>21</v>
      </c>
      <c r="J47" s="2" t="s">
        <v>22</v>
      </c>
      <c r="K47" s="2" t="s">
        <v>23</v>
      </c>
      <c r="L47" s="2" t="s">
        <v>24</v>
      </c>
      <c r="M47" s="2">
        <v>1</v>
      </c>
      <c r="N47" s="7" t="s">
        <v>127</v>
      </c>
      <c r="O47" s="2" t="s">
        <v>25</v>
      </c>
      <c r="P47" s="2">
        <v>4</v>
      </c>
      <c r="Q47" s="3" t="str">
        <f>HYPERLINK("https://modelscope.cn/models/Qwen/Qwen3-Next-80B-A3B-Instruct","https://modelscope.cn/models/Qwen/Qwen3-Next-80B-A3B-Instruct")</f>
        <v>https://modelscope.cn/models/Qwen/Qwen3-Next-80B-A3B-Instruct</v>
      </c>
      <c r="R47" s="2" t="s">
        <v>18</v>
      </c>
    </row>
    <row r="48" spans="1:18" ht="16.5" x14ac:dyDescent="0.35">
      <c r="A48" s="2" t="s">
        <v>150</v>
      </c>
      <c r="B48" s="2" t="s">
        <v>64</v>
      </c>
      <c r="C48" s="2" t="s">
        <v>148</v>
      </c>
      <c r="D48" s="2" t="s">
        <v>65</v>
      </c>
      <c r="E48" s="8">
        <v>235.68</v>
      </c>
      <c r="F48" s="2" t="s">
        <v>146</v>
      </c>
      <c r="G48" s="2">
        <v>237.62</v>
      </c>
      <c r="H48" s="2" t="s">
        <v>152</v>
      </c>
      <c r="I48" s="2" t="s">
        <v>21</v>
      </c>
      <c r="J48" s="2" t="s">
        <v>22</v>
      </c>
      <c r="K48" s="2" t="s">
        <v>23</v>
      </c>
      <c r="L48" s="2" t="s">
        <v>24</v>
      </c>
      <c r="M48" s="2">
        <v>1</v>
      </c>
      <c r="N48" s="7" t="s">
        <v>127</v>
      </c>
      <c r="O48" s="2" t="s">
        <v>25</v>
      </c>
      <c r="P48" s="2">
        <v>8</v>
      </c>
      <c r="Q48" s="10" t="str">
        <f>HYPERLINK("https://modelscope.cn/models/Qwen/Qwen3-VL-235B-A22B-Instruct-FP8")</f>
        <v>https://modelscope.cn/models/Qwen/Qwen3-VL-235B-A22B-Instruct-FP8</v>
      </c>
      <c r="R48" s="2" t="s">
        <v>18</v>
      </c>
    </row>
    <row r="49" spans="1:18" ht="16.5" x14ac:dyDescent="0.35">
      <c r="A49" s="2" t="s">
        <v>150</v>
      </c>
      <c r="B49" s="2" t="s">
        <v>64</v>
      </c>
      <c r="C49" s="2" t="s">
        <v>109</v>
      </c>
      <c r="D49" s="2" t="s">
        <v>65</v>
      </c>
      <c r="E49" s="2">
        <v>31.07</v>
      </c>
      <c r="F49" s="2" t="s">
        <v>36</v>
      </c>
      <c r="G49" s="2" t="s">
        <v>110</v>
      </c>
      <c r="H49" s="2" t="s">
        <v>152</v>
      </c>
      <c r="I49" s="2" t="s">
        <v>21</v>
      </c>
      <c r="J49" s="2" t="s">
        <v>22</v>
      </c>
      <c r="K49" s="2" t="s">
        <v>23</v>
      </c>
      <c r="L49" s="2" t="s">
        <v>24</v>
      </c>
      <c r="M49" s="2">
        <v>1</v>
      </c>
      <c r="N49" s="7" t="s">
        <v>127</v>
      </c>
      <c r="O49" s="2" t="s">
        <v>25</v>
      </c>
      <c r="P49" s="2">
        <v>2</v>
      </c>
      <c r="Q49" s="3" t="str">
        <f>HYPERLINK("https://modelscope.cn/models/Qwen/Qwen3-VL-30B-A3B-Instruct","https://modelscope.cn/models/Qwen/Qwen3-VL-30B-A3B-Instruct")</f>
        <v>https://modelscope.cn/models/Qwen/Qwen3-VL-30B-A3B-Instruct</v>
      </c>
      <c r="R49" s="2" t="s">
        <v>18</v>
      </c>
    </row>
    <row r="50" spans="1:18" ht="16.5" x14ac:dyDescent="0.35">
      <c r="A50" s="2" t="s">
        <v>150</v>
      </c>
      <c r="B50" s="2" t="s">
        <v>64</v>
      </c>
      <c r="C50" s="2" t="s">
        <v>111</v>
      </c>
      <c r="D50" s="2" t="s">
        <v>65</v>
      </c>
      <c r="E50" s="2">
        <v>33.36</v>
      </c>
      <c r="F50" s="2" t="s">
        <v>36</v>
      </c>
      <c r="G50" s="2" t="s">
        <v>112</v>
      </c>
      <c r="H50" s="2" t="s">
        <v>152</v>
      </c>
      <c r="I50" s="2" t="s">
        <v>21</v>
      </c>
      <c r="J50" s="2" t="s">
        <v>22</v>
      </c>
      <c r="K50" s="2" t="s">
        <v>23</v>
      </c>
      <c r="L50" s="2" t="s">
        <v>24</v>
      </c>
      <c r="M50" s="2">
        <v>1</v>
      </c>
      <c r="N50" s="7" t="s">
        <v>127</v>
      </c>
      <c r="O50" s="2" t="s">
        <v>25</v>
      </c>
      <c r="P50" s="2">
        <v>2</v>
      </c>
      <c r="Q50" s="3" t="str">
        <f>HYPERLINK("https://modelscope.cn/models/Qwen/Qwen3-VL-32B-Instruct","https://modelscope.cn/models/Qwen/Qwen3-VL-32B-Instruct")</f>
        <v>https://modelscope.cn/models/Qwen/Qwen3-VL-32B-Instruct</v>
      </c>
      <c r="R50" s="2" t="s">
        <v>18</v>
      </c>
    </row>
    <row r="51" spans="1:18" ht="16.5" x14ac:dyDescent="0.35">
      <c r="A51" s="2" t="s">
        <v>150</v>
      </c>
      <c r="B51" s="2" t="s">
        <v>64</v>
      </c>
      <c r="C51" s="2" t="s">
        <v>113</v>
      </c>
      <c r="D51" s="2" t="s">
        <v>65</v>
      </c>
      <c r="E51" s="2">
        <v>8.77</v>
      </c>
      <c r="F51" s="2" t="s">
        <v>36</v>
      </c>
      <c r="G51" s="2" t="s">
        <v>114</v>
      </c>
      <c r="H51" s="2" t="s">
        <v>152</v>
      </c>
      <c r="I51" s="2" t="s">
        <v>21</v>
      </c>
      <c r="J51" s="2" t="s">
        <v>22</v>
      </c>
      <c r="K51" s="2" t="s">
        <v>23</v>
      </c>
      <c r="L51" s="2" t="s">
        <v>24</v>
      </c>
      <c r="M51" s="2">
        <v>1</v>
      </c>
      <c r="N51" s="7" t="s">
        <v>127</v>
      </c>
      <c r="O51" s="2" t="s">
        <v>25</v>
      </c>
      <c r="P51" s="2">
        <v>1</v>
      </c>
      <c r="Q51" s="3" t="str">
        <f>HYPERLINK("https://modelscope.cn/models/Qwen/Qwen3-VL-8B-Instruct","https://modelscope.cn/models/Qwen/Qwen3-VL-8B-Instruct")</f>
        <v>https://modelscope.cn/models/Qwen/Qwen3-VL-8B-Instruct</v>
      </c>
      <c r="R51" s="2" t="s">
        <v>18</v>
      </c>
    </row>
    <row r="52" spans="1:18" ht="16.5" x14ac:dyDescent="0.35">
      <c r="A52" s="2" t="s">
        <v>150</v>
      </c>
      <c r="B52" s="2" t="s">
        <v>64</v>
      </c>
      <c r="C52" s="2" t="s">
        <v>115</v>
      </c>
      <c r="D52" s="2" t="s">
        <v>34</v>
      </c>
      <c r="E52" s="2">
        <v>32.76</v>
      </c>
      <c r="F52" s="2" t="s">
        <v>36</v>
      </c>
      <c r="G52" s="2" t="s">
        <v>51</v>
      </c>
      <c r="H52" s="2" t="s">
        <v>152</v>
      </c>
      <c r="I52" s="2" t="s">
        <v>21</v>
      </c>
      <c r="J52" s="2" t="s">
        <v>22</v>
      </c>
      <c r="K52" s="2" t="s">
        <v>23</v>
      </c>
      <c r="L52" s="2" t="s">
        <v>24</v>
      </c>
      <c r="M52" s="2">
        <v>1</v>
      </c>
      <c r="N52" s="7" t="s">
        <v>127</v>
      </c>
      <c r="O52" s="2" t="s">
        <v>25</v>
      </c>
      <c r="P52" s="2">
        <v>2</v>
      </c>
      <c r="Q52" s="3" t="str">
        <f>HYPERLINK("https://modelscope.cn/models/Qwen/QwQ-32B","https://modelscope.cn/models/Qwen/QwQ-32B")</f>
        <v>https://modelscope.cn/models/Qwen/QwQ-32B</v>
      </c>
      <c r="R52" s="2" t="s">
        <v>18</v>
      </c>
    </row>
    <row r="53" spans="1:18" s="6" customFormat="1" ht="33" x14ac:dyDescent="0.35">
      <c r="A53" s="2" t="s">
        <v>150</v>
      </c>
      <c r="B53" s="4" t="s">
        <v>64</v>
      </c>
      <c r="C53" s="4" t="s">
        <v>115</v>
      </c>
      <c r="D53" s="4" t="s">
        <v>34</v>
      </c>
      <c r="E53" s="4" t="s">
        <v>50</v>
      </c>
      <c r="F53" s="4" t="s">
        <v>36</v>
      </c>
      <c r="G53" s="4" t="s">
        <v>51</v>
      </c>
      <c r="H53" s="4" t="s">
        <v>153</v>
      </c>
      <c r="I53" s="4" t="s">
        <v>21</v>
      </c>
      <c r="J53" s="4" t="s">
        <v>22</v>
      </c>
      <c r="K53" s="4" t="s">
        <v>23</v>
      </c>
      <c r="L53" s="4" t="s">
        <v>68</v>
      </c>
      <c r="M53" s="4">
        <v>1</v>
      </c>
      <c r="N53" s="7" t="s">
        <v>127</v>
      </c>
      <c r="O53" s="4" t="s">
        <v>69</v>
      </c>
      <c r="P53" s="4">
        <v>2</v>
      </c>
      <c r="Q53" s="5" t="str">
        <f>HYPERLINK("https://modelscope.cn/models/Qwen/Qwen3-32B","https://modelscope.cn/models/Qwen/Qwen3-32B")</f>
        <v>https://modelscope.cn/models/Qwen/Qwen3-32B</v>
      </c>
      <c r="R53" s="21" t="s">
        <v>169</v>
      </c>
    </row>
    <row r="54" spans="1:18" ht="16.5" x14ac:dyDescent="0.35">
      <c r="A54" s="14" t="s">
        <v>150</v>
      </c>
      <c r="B54" s="14" t="s">
        <v>116</v>
      </c>
      <c r="C54" s="14" t="s">
        <v>117</v>
      </c>
      <c r="D54" s="14" t="s">
        <v>34</v>
      </c>
      <c r="E54" s="14">
        <v>358.46</v>
      </c>
      <c r="F54" s="14" t="s">
        <v>41</v>
      </c>
      <c r="G54" s="14" t="s">
        <v>118</v>
      </c>
      <c r="H54" s="14" t="s">
        <v>152</v>
      </c>
      <c r="I54" s="14" t="s">
        <v>173</v>
      </c>
      <c r="J54" s="14" t="s">
        <v>22</v>
      </c>
      <c r="K54" s="14" t="s">
        <v>23</v>
      </c>
      <c r="L54" s="14" t="s">
        <v>38</v>
      </c>
      <c r="M54" s="2">
        <v>1</v>
      </c>
      <c r="N54" s="2" t="s">
        <v>127</v>
      </c>
      <c r="O54" s="2" t="s">
        <v>39</v>
      </c>
      <c r="P54" s="2">
        <v>8</v>
      </c>
      <c r="Q54" s="3" t="str">
        <f>HYPERLINK("https://modelscope.cn/models/ZhipuAI/GLM-4.7-FP8","https://modelscope.cn/models/ZhipuAI/GLM-4.7-FP8")</f>
        <v>https://modelscope.cn/models/ZhipuAI/GLM-4.7-FP8</v>
      </c>
      <c r="R54" s="2" t="s">
        <v>18</v>
      </c>
    </row>
    <row r="55" spans="1:18" ht="16.5" x14ac:dyDescent="0.35">
      <c r="A55" s="16" t="s">
        <v>150</v>
      </c>
      <c r="B55" s="16" t="s">
        <v>116</v>
      </c>
      <c r="C55" s="16" t="s">
        <v>119</v>
      </c>
      <c r="D55" s="16" t="s">
        <v>34</v>
      </c>
      <c r="E55" s="16">
        <v>9.4</v>
      </c>
      <c r="F55" s="16" t="s">
        <v>36</v>
      </c>
      <c r="G55" s="16" t="s">
        <v>120</v>
      </c>
      <c r="H55" s="16" t="s">
        <v>152</v>
      </c>
      <c r="I55" s="16" t="s">
        <v>21</v>
      </c>
      <c r="J55" s="16" t="s">
        <v>22</v>
      </c>
      <c r="K55" s="16" t="s">
        <v>23</v>
      </c>
      <c r="L55" s="16" t="s">
        <v>24</v>
      </c>
      <c r="M55" s="12">
        <v>1</v>
      </c>
      <c r="N55" s="2" t="s">
        <v>127</v>
      </c>
      <c r="O55" s="2" t="s">
        <v>25</v>
      </c>
      <c r="P55" s="2">
        <v>1</v>
      </c>
      <c r="Q55" s="3" t="str">
        <f>HYPERLINK("https://modelscope.cn/models/ZhipuAI/GLM-4-9B-0414","https://modelscope.cn/models/ZhipuAI/GLM-4-9B-0414")</f>
        <v>https://modelscope.cn/models/ZhipuAI/GLM-4-9B-0414</v>
      </c>
      <c r="R55" s="2" t="s">
        <v>18</v>
      </c>
    </row>
    <row r="56" spans="1:18" ht="16.5" x14ac:dyDescent="0.35">
      <c r="A56" s="16" t="s">
        <v>150</v>
      </c>
      <c r="B56" s="16" t="s">
        <v>116</v>
      </c>
      <c r="C56" s="16" t="s">
        <v>121</v>
      </c>
      <c r="D56" s="16" t="s">
        <v>34</v>
      </c>
      <c r="E56" s="17">
        <v>753.91</v>
      </c>
      <c r="F56" s="16" t="s">
        <v>41</v>
      </c>
      <c r="G56" s="16" t="s">
        <v>122</v>
      </c>
      <c r="H56" s="16" t="s">
        <v>152</v>
      </c>
      <c r="I56" s="16" t="s">
        <v>173</v>
      </c>
      <c r="J56" s="16" t="s">
        <v>22</v>
      </c>
      <c r="K56" s="16" t="s">
        <v>23</v>
      </c>
      <c r="L56" s="16" t="s">
        <v>38</v>
      </c>
      <c r="M56" s="12">
        <v>1</v>
      </c>
      <c r="N56" s="2" t="s">
        <v>127</v>
      </c>
      <c r="O56" s="2" t="s">
        <v>39</v>
      </c>
      <c r="P56" s="8">
        <v>8</v>
      </c>
      <c r="Q56" s="3" t="str">
        <f>HYPERLINK("https://modelscope.cn/models/ZhipuAI/GLM-5.1-FP8","https://modelscope.cn/models/ZhipuAI/GLM-5.1-FP8")</f>
        <v>https://modelscope.cn/models/ZhipuAI/GLM-5.1-FP8</v>
      </c>
      <c r="R56" s="2" t="s">
        <v>18</v>
      </c>
    </row>
    <row r="57" spans="1:18" ht="16.5" x14ac:dyDescent="0.35">
      <c r="A57" s="16" t="s">
        <v>150</v>
      </c>
      <c r="B57" s="16" t="s">
        <v>116</v>
      </c>
      <c r="C57" s="16" t="s">
        <v>138</v>
      </c>
      <c r="D57" s="16" t="s">
        <v>34</v>
      </c>
      <c r="E57" s="16">
        <v>753.91</v>
      </c>
      <c r="F57" s="16" t="s">
        <v>41</v>
      </c>
      <c r="G57" s="16" t="s">
        <v>122</v>
      </c>
      <c r="H57" s="16" t="s">
        <v>152</v>
      </c>
      <c r="I57" s="16" t="s">
        <v>173</v>
      </c>
      <c r="J57" s="16" t="s">
        <v>22</v>
      </c>
      <c r="K57" s="16" t="s">
        <v>23</v>
      </c>
      <c r="L57" s="16" t="s">
        <v>38</v>
      </c>
      <c r="M57" s="12">
        <v>1</v>
      </c>
      <c r="N57" s="2" t="s">
        <v>127</v>
      </c>
      <c r="O57" s="2" t="s">
        <v>39</v>
      </c>
      <c r="P57" s="8">
        <v>8</v>
      </c>
      <c r="Q57" s="3" t="str">
        <f>HYPERLINK("https://modelscope.cn/models/ZhipuAI/GLM-5-FP8","https://modelscope.cn/models/ZhipuAI/GLM-5-FP8")</f>
        <v>https://modelscope.cn/models/ZhipuAI/GLM-5-FP8</v>
      </c>
      <c r="R57" s="2" t="s">
        <v>18</v>
      </c>
    </row>
    <row r="58" spans="1:18" s="6" customFormat="1" ht="16.5" x14ac:dyDescent="0.35">
      <c r="A58" s="16" t="s">
        <v>150</v>
      </c>
      <c r="B58" s="18" t="s">
        <v>155</v>
      </c>
      <c r="C58" s="19" t="s">
        <v>158</v>
      </c>
      <c r="D58" s="18" t="s">
        <v>34</v>
      </c>
      <c r="E58" s="18">
        <v>284</v>
      </c>
      <c r="F58" s="18" t="s">
        <v>145</v>
      </c>
      <c r="G58" s="18">
        <v>168.31</v>
      </c>
      <c r="H58" s="16" t="s">
        <v>160</v>
      </c>
      <c r="I58" s="18" t="s">
        <v>21</v>
      </c>
      <c r="J58" s="18" t="s">
        <v>76</v>
      </c>
      <c r="K58" s="18" t="s">
        <v>23</v>
      </c>
      <c r="L58" s="18" t="s">
        <v>77</v>
      </c>
      <c r="M58" s="13">
        <v>1</v>
      </c>
      <c r="N58" s="4" t="s">
        <v>127</v>
      </c>
      <c r="O58" s="4" t="s">
        <v>78</v>
      </c>
      <c r="P58" s="4">
        <v>4</v>
      </c>
      <c r="Q58" s="10" t="str">
        <f>HYPERLINK("https://modelscope.cn/models/nv-community/DeepSeek-V4-Flash-NVFP4")</f>
        <v>https://modelscope.cn/models/nv-community/DeepSeek-V4-Flash-NVFP4</v>
      </c>
      <c r="R58" s="4" t="s">
        <v>156</v>
      </c>
    </row>
    <row r="59" spans="1:18" ht="16.5" x14ac:dyDescent="0.35">
      <c r="A59" s="16" t="s">
        <v>150</v>
      </c>
      <c r="B59" s="20" t="s">
        <v>155</v>
      </c>
      <c r="C59" s="20" t="s">
        <v>161</v>
      </c>
      <c r="D59" s="16" t="s">
        <v>34</v>
      </c>
      <c r="E59" s="20">
        <v>1600</v>
      </c>
      <c r="F59" s="20" t="s">
        <v>162</v>
      </c>
      <c r="G59" s="16">
        <v>864.74</v>
      </c>
      <c r="H59" s="16" t="s">
        <v>152</v>
      </c>
      <c r="I59" s="20" t="s">
        <v>163</v>
      </c>
      <c r="J59" s="16" t="s">
        <v>22</v>
      </c>
      <c r="K59" s="16" t="s">
        <v>23</v>
      </c>
      <c r="L59" s="16" t="s">
        <v>38</v>
      </c>
      <c r="M59" s="12">
        <v>1</v>
      </c>
      <c r="N59" s="2" t="s">
        <v>127</v>
      </c>
      <c r="O59" s="2" t="s">
        <v>39</v>
      </c>
      <c r="P59" s="8">
        <v>8</v>
      </c>
      <c r="Q59" s="11" t="s">
        <v>164</v>
      </c>
      <c r="R59" s="4" t="s">
        <v>156</v>
      </c>
    </row>
    <row r="60" spans="1:18" ht="16.5" x14ac:dyDescent="0.35">
      <c r="A60" s="16" t="s">
        <v>150</v>
      </c>
      <c r="B60" s="20" t="s">
        <v>167</v>
      </c>
      <c r="C60" s="20" t="s">
        <v>166</v>
      </c>
      <c r="D60" s="16" t="s">
        <v>65</v>
      </c>
      <c r="E60" s="20">
        <v>1000</v>
      </c>
      <c r="F60" s="20" t="s">
        <v>165</v>
      </c>
      <c r="G60" s="16">
        <v>595.21</v>
      </c>
      <c r="H60" s="16" t="s">
        <v>152</v>
      </c>
      <c r="I60" s="20" t="s">
        <v>163</v>
      </c>
      <c r="J60" s="16" t="s">
        <v>22</v>
      </c>
      <c r="K60" s="16" t="s">
        <v>23</v>
      </c>
      <c r="L60" s="16" t="s">
        <v>38</v>
      </c>
      <c r="M60" s="12">
        <v>1</v>
      </c>
      <c r="N60" s="2" t="s">
        <v>127</v>
      </c>
      <c r="O60" s="2" t="s">
        <v>39</v>
      </c>
      <c r="P60" s="8">
        <v>8</v>
      </c>
      <c r="Q60" s="11" t="s">
        <v>168</v>
      </c>
      <c r="R60" s="4" t="s">
        <v>156</v>
      </c>
    </row>
    <row r="61" spans="1:18" ht="16.5" x14ac:dyDescent="0.35">
      <c r="A61" s="15" t="s">
        <v>150</v>
      </c>
    </row>
  </sheetData>
  <autoFilter ref="A1:R61" xr:uid="{B02892AD-41D1-404F-919A-68E7BC1CC4E8}"/>
  <phoneticPr fontId="4" type="noConversion"/>
  <hyperlinks>
    <hyperlink ref="Q59" r:id="rId1" xr:uid="{8678E66F-6615-4EFB-8A9A-03F96F1428E4}"/>
    <hyperlink ref="Q60" r:id="rId2" xr:uid="{2B712EF5-5996-4925-9210-F19B672086A4}"/>
  </hyperlinks>
  <pageMargins left="0.7" right="0.7" top="0.75" bottom="0.75" header="0.3" footer="0.3"/>
  <pageSetup paperSize="9" orientation="portrait" horizontalDpi="300" verticalDpi="30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guzheng</cp:lastModifiedBy>
  <dcterms:created xsi:type="dcterms:W3CDTF">2026-07-08T07:04:14Z</dcterms:created>
  <dcterms:modified xsi:type="dcterms:W3CDTF">2026-07-16T13:26:22Z</dcterms:modified>
</cp:coreProperties>
</file>